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<sst xmlns="http://schemas.openxmlformats.org/spreadsheetml/2006/main" count="65" uniqueCount="41">
  <si>
    <t>Timestamp</t>
  </si>
  <si>
    <t>Name</t>
  </si>
  <si>
    <t>Position</t>
  </si>
  <si>
    <t>if there are dependents, Please state their number</t>
  </si>
  <si>
    <t>Payment Method</t>
  </si>
  <si>
    <t>Choose you Meal</t>
  </si>
  <si>
    <t>if there are dependents, please state total number of required meals of the above choice</t>
  </si>
  <si>
    <t>Payment Picture</t>
  </si>
  <si>
    <t>Column 1</t>
  </si>
  <si>
    <t>Amira Gamal Mohamed Omar</t>
  </si>
  <si>
    <t>TA</t>
  </si>
  <si>
    <t>Instapay</t>
  </si>
  <si>
    <t>1 seekh sheesh + 2 kofta + rice + bread + salad + tahini + juice (180 LE)</t>
  </si>
  <si>
    <t>https://drive.google.com/open?id=1eWDLAytSQ8MzHWYXR5upGXcBpujPsE7i</t>
  </si>
  <si>
    <t>Meals</t>
  </si>
  <si>
    <t>Count</t>
  </si>
  <si>
    <t>Mikhail Nadi Daoud</t>
  </si>
  <si>
    <t>Koshari + juice (80 LE) size 2</t>
  </si>
  <si>
    <t>https://drive.google.com/open?id=1ckdBVuRhyfwUIo_9N7mLuNTsvgpBZ5wX</t>
  </si>
  <si>
    <t>آلاء طارق</t>
  </si>
  <si>
    <t>https://drive.google.com/open?id=1C8dG74A3fGayuWXOOndUN8pnvAeEXnWn</t>
  </si>
  <si>
    <t>1/2 grilled chicken + rice + bread + salad + tahini + juice (220 LE)</t>
  </si>
  <si>
    <t>Samar Alaa Sobhy</t>
  </si>
  <si>
    <t>1/4  grilled chicken + 2 kofta + rice + bread + salad + tahini + juice (175 LE)</t>
  </si>
  <si>
    <t>https://drive.google.com/open?id=1m2v19xJwmEXiCCIn2X8xhsgMeJGxZNw0</t>
  </si>
  <si>
    <t>Yara Elshamy</t>
  </si>
  <si>
    <t>https://drive.google.com/open?id=1EVCsACuHQD8KnPBMVYiCW6-NJeXW9vjM</t>
  </si>
  <si>
    <t>Fatet Shawerma + tomeya + juice (165 LE)</t>
  </si>
  <si>
    <t>Omar Hesham</t>
  </si>
  <si>
    <t>01011450556</t>
  </si>
  <si>
    <t>2 "total number including me"</t>
  </si>
  <si>
    <t>https://drive.google.com/open?id=1705whK51y8kRx6pc1FTgkYoZrKaQ9Xhi</t>
  </si>
  <si>
    <t xml:space="preserve">Mona Mohamed Abdelaty </t>
  </si>
  <si>
    <t>https://drive.google.com/open?id=1XyAU0_t39SY0brT0nQrouT0fSDf0ZrR4</t>
  </si>
  <si>
    <t>TOTAL</t>
  </si>
  <si>
    <t xml:space="preserve">Abdelrahman Hesham </t>
  </si>
  <si>
    <t>https://drive.google.com/open?id=11zOF8xFIGw-LYF0Mwu0d0ko-VTG5TZCB</t>
  </si>
  <si>
    <t>أ. د. محمد علي رشدي</t>
  </si>
  <si>
    <t>Professor</t>
  </si>
  <si>
    <t>https://drive.google.com/open?id=1iDXSXVbR26sNqR6aU7wzVB5Hy2IoQt_X</t>
  </si>
  <si>
    <t>Koshari + juice (70 LE) size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</si>
</sst>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rgb="FFFFFFFF"/>
      <name val="Arial"/>
    </font>
    <font>
      <color theme="1"/>
      <name val="Arial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horizontal="center"/>
    </xf>
    <xf borderId="0" fillId="3" fontId="4" numFmtId="0" xfId="0" applyFill="1" applyFont="1"/>
    <xf borderId="0" fillId="3" fontId="4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4" fontId="4" numFmtId="0" xfId="0" applyAlignment="1" applyFill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vertical="center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" displayName="Form_Responses" name="Form_Responses" id="1">
  <tableColumns count="9">
    <tableColumn name="Timestamp" id="1"/>
    <tableColumn name="Name" id="2"/>
    <tableColumn name="Position" id="3"/>
    <tableColumn name="if there are dependents, Please state their number" id="4"/>
    <tableColumn name="Payment Method" id="5"/>
    <tableColumn name="Choose you Meal" id="6"/>
    <tableColumn name="if there are dependents, please state total number of required meals of the above choice" id="7"/>
    <tableColumn name="Payment Picture" id="8"/>
    <tableColumn name="Column 1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eWDLAytSQ8MzHWYXR5upGXcBpujPsE7i" TargetMode="External"/><Relationship Id="rId2" Type="http://schemas.openxmlformats.org/officeDocument/2006/relationships/hyperlink" Target="https://drive.google.com/open?id=1ckdBVuRhyfwUIo_9N7mLuNTsvgpBZ5wX" TargetMode="External"/><Relationship Id="rId3" Type="http://schemas.openxmlformats.org/officeDocument/2006/relationships/hyperlink" Target="https://drive.google.com/open?id=1C8dG74A3fGayuWXOOndUN8pnvAeEXnWn" TargetMode="External"/><Relationship Id="rId4" Type="http://schemas.openxmlformats.org/officeDocument/2006/relationships/hyperlink" Target="https://drive.google.com/open?id=1m2v19xJwmEXiCCIn2X8xhsgMeJGxZNw0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drive.google.com/open?id=1iDXSXVbR26sNqR6aU7wzVB5Hy2IoQt_X" TargetMode="External"/><Relationship Id="rId5" Type="http://schemas.openxmlformats.org/officeDocument/2006/relationships/hyperlink" Target="https://drive.google.com/open?id=1EVCsACuHQD8KnPBMVYiCW6-NJeXW9vjM" TargetMode="External"/><Relationship Id="rId6" Type="http://schemas.openxmlformats.org/officeDocument/2006/relationships/hyperlink" Target="https://drive.google.com/open?id=1705whK51y8kRx6pc1FTgkYoZrKaQ9Xhi" TargetMode="External"/><Relationship Id="rId7" Type="http://schemas.openxmlformats.org/officeDocument/2006/relationships/hyperlink" Target="https://drive.google.com/open?id=1XyAU0_t39SY0brT0nQrouT0fSDf0ZrR4" TargetMode="External"/><Relationship Id="rId8" Type="http://schemas.openxmlformats.org/officeDocument/2006/relationships/hyperlink" Target="https://drive.google.com/open?id=11zOF8xFIGw-LYF0Mwu0d0ko-VTG5TZ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88"/>
    <col customWidth="1" min="3" max="3" width="18.88"/>
    <col customWidth="1" min="4" max="4" width="37.63"/>
    <col customWidth="1" min="5" max="5" width="18.88"/>
    <col customWidth="1" min="6" max="6" width="64.13"/>
    <col customWidth="1" min="7" max="7" width="37.63"/>
    <col customWidth="1" min="8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3">
        <v>46089.70941229167</v>
      </c>
      <c r="B2" s="4" t="s">
        <v>9</v>
      </c>
      <c r="C2" s="4" t="s">
        <v>10</v>
      </c>
      <c r="D2" s="5"/>
      <c r="E2" s="4" t="s">
        <v>11</v>
      </c>
      <c r="F2" s="4" t="s">
        <v>12</v>
      </c>
      <c r="G2" s="5"/>
      <c r="H2" s="6" t="s">
        <v>13</v>
      </c>
      <c r="I2" s="4">
        <v>180.0</v>
      </c>
      <c r="J2" s="7" t="s">
        <v>14</v>
      </c>
      <c r="K2" s="7" t="s">
        <v>15</v>
      </c>
    </row>
    <row r="3" ht="22.5" customHeight="1">
      <c r="A3" s="3">
        <v>46089.717998796295</v>
      </c>
      <c r="B3" s="4" t="s">
        <v>16</v>
      </c>
      <c r="C3" s="4" t="s">
        <v>10</v>
      </c>
      <c r="D3" s="5"/>
      <c r="E3" s="4" t="s">
        <v>11</v>
      </c>
      <c r="F3" s="4" t="s">
        <v>17</v>
      </c>
      <c r="G3" s="5"/>
      <c r="H3" s="6" t="s">
        <v>18</v>
      </c>
      <c r="I3" s="4">
        <v>80.0</v>
      </c>
      <c r="J3" s="8" t="s">
        <v>12</v>
      </c>
      <c r="K3" s="9">
        <f>COUNTIF(F:F,J3)+5</f>
        <v>11</v>
      </c>
    </row>
    <row r="4" ht="22.5" customHeight="1">
      <c r="A4" s="3">
        <v>46089.724459641206</v>
      </c>
      <c r="B4" s="10" t="s">
        <v>19</v>
      </c>
      <c r="C4" s="4" t="s">
        <v>10</v>
      </c>
      <c r="D4" s="5"/>
      <c r="E4" s="4" t="s">
        <v>11</v>
      </c>
      <c r="F4" s="4" t="s">
        <v>12</v>
      </c>
      <c r="G4" s="5"/>
      <c r="H4" s="6" t="s">
        <v>20</v>
      </c>
      <c r="I4" s="4">
        <v>180.0</v>
      </c>
      <c r="J4" s="8" t="s">
        <v>21</v>
      </c>
      <c r="K4" s="9">
        <f t="shared" ref="K4:K6" si="1">COUNTIF(F:F,J4)</f>
        <v>0</v>
      </c>
    </row>
    <row r="5" ht="22.5" customHeight="1">
      <c r="A5" s="3">
        <v>46089.77507722222</v>
      </c>
      <c r="B5" s="4" t="s">
        <v>22</v>
      </c>
      <c r="C5" s="4" t="s">
        <v>10</v>
      </c>
      <c r="D5" s="5"/>
      <c r="E5" s="4" t="s">
        <v>11</v>
      </c>
      <c r="F5" s="4" t="s">
        <v>23</v>
      </c>
      <c r="G5" s="5"/>
      <c r="H5" s="6" t="s">
        <v>24</v>
      </c>
      <c r="I5" s="4">
        <v>175.0</v>
      </c>
      <c r="J5" s="8" t="s">
        <v>23</v>
      </c>
      <c r="K5" s="9">
        <f t="shared" si="1"/>
        <v>2</v>
      </c>
    </row>
    <row r="6" ht="22.5" customHeight="1">
      <c r="A6" s="3">
        <v>46089.81185561343</v>
      </c>
      <c r="B6" s="4" t="s">
        <v>25</v>
      </c>
      <c r="C6" s="4" t="s">
        <v>10</v>
      </c>
      <c r="D6" s="5"/>
      <c r="E6" s="4" t="s">
        <v>11</v>
      </c>
      <c r="F6" s="4" t="s">
        <v>12</v>
      </c>
      <c r="G6" s="5"/>
      <c r="H6" s="6" t="s">
        <v>26</v>
      </c>
      <c r="I6" s="4">
        <v>180.0</v>
      </c>
      <c r="J6" s="8" t="s">
        <v>27</v>
      </c>
      <c r="K6" s="9">
        <f t="shared" si="1"/>
        <v>0</v>
      </c>
    </row>
    <row r="7" ht="22.5" customHeight="1">
      <c r="A7" s="3">
        <v>46089.87717324074</v>
      </c>
      <c r="B7" s="4" t="s">
        <v>28</v>
      </c>
      <c r="C7" s="4" t="s">
        <v>10</v>
      </c>
      <c r="D7" s="11" t="s">
        <v>29</v>
      </c>
      <c r="E7" s="4" t="s">
        <v>11</v>
      </c>
      <c r="F7" s="4" t="s">
        <v>12</v>
      </c>
      <c r="G7" s="4" t="s">
        <v>30</v>
      </c>
      <c r="H7" s="6" t="s">
        <v>31</v>
      </c>
      <c r="I7" s="4">
        <v>360.0</v>
      </c>
    </row>
    <row r="8" ht="22.5" customHeight="1">
      <c r="A8" s="12">
        <v>46090.04334143519</v>
      </c>
      <c r="B8" s="13" t="s">
        <v>32</v>
      </c>
      <c r="C8" s="13" t="s">
        <v>10</v>
      </c>
      <c r="D8" s="13">
        <v>2.0</v>
      </c>
      <c r="E8" s="13" t="s">
        <v>11</v>
      </c>
      <c r="F8" s="13" t="s">
        <v>12</v>
      </c>
      <c r="G8" s="13">
        <v>3.0</v>
      </c>
      <c r="H8" s="14" t="s">
        <v>33</v>
      </c>
      <c r="I8" s="4">
        <v>540.0</v>
      </c>
      <c r="J8" s="15" t="s">
        <v>34</v>
      </c>
      <c r="K8" s="15">
        <f>SUM(K3:K6)</f>
        <v>13</v>
      </c>
    </row>
    <row r="9" ht="22.5" customHeight="1">
      <c r="A9" s="12">
        <v>46090.21294212963</v>
      </c>
      <c r="B9" s="13" t="s">
        <v>35</v>
      </c>
      <c r="C9" s="13" t="s">
        <v>10</v>
      </c>
      <c r="E9" s="13" t="s">
        <v>11</v>
      </c>
      <c r="F9" s="13" t="s">
        <v>23</v>
      </c>
      <c r="H9" s="14" t="s">
        <v>36</v>
      </c>
      <c r="I9" s="4">
        <v>175.0</v>
      </c>
    </row>
    <row r="10" ht="22.5" customHeight="1">
      <c r="A10" s="12">
        <v>46090.74767159722</v>
      </c>
      <c r="B10" s="16" t="s">
        <v>37</v>
      </c>
      <c r="C10" s="13" t="s">
        <v>38</v>
      </c>
      <c r="D10" s="13">
        <v>2.0</v>
      </c>
      <c r="E10" s="13" t="s">
        <v>11</v>
      </c>
      <c r="F10" s="13" t="s">
        <v>12</v>
      </c>
      <c r="G10" s="13">
        <v>3.0</v>
      </c>
      <c r="H10" s="14" t="s">
        <v>39</v>
      </c>
      <c r="I10" s="4">
        <v>540.0</v>
      </c>
    </row>
    <row r="11">
      <c r="J11" s="17" t="s">
        <v>40</v>
      </c>
      <c r="K11" s="9">
        <f t="shared" ref="K11:K12" si="2">COUNTIF(F:F,J11)</f>
        <v>0</v>
      </c>
    </row>
    <row r="12">
      <c r="J12" s="8" t="s">
        <v>17</v>
      </c>
      <c r="K12" s="9">
        <f t="shared" si="2"/>
        <v>1</v>
      </c>
    </row>
    <row r="13">
      <c r="G13" s="18">
        <f>SUM(I8:I10)</f>
        <v>1255</v>
      </c>
      <c r="I13" s="18">
        <f>SUM(Form_Responses[Column 1])</f>
        <v>2410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</hyperlinks>
  <drawing r:id="rId10"/>
  <tableParts count="1">
    <tablePart r:id="rId12"/>
  </tableParts>
</worksheet>
</file>