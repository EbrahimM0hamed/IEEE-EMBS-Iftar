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<sst xmlns="http://schemas.openxmlformats.org/spreadsheetml/2006/main" count="1837" uniqueCount="962">
  <si>
    <t>Timestamp</t>
  </si>
  <si>
    <t>Email address</t>
  </si>
  <si>
    <t xml:space="preserve">Name  </t>
  </si>
  <si>
    <t xml:space="preserve">Phone Number </t>
  </si>
  <si>
    <t>Email</t>
  </si>
  <si>
    <t xml:space="preserve">Year </t>
  </si>
  <si>
    <t xml:space="preserve">Choose your meal </t>
  </si>
  <si>
    <t>Payment Method</t>
  </si>
  <si>
    <t>Payment Picture</t>
  </si>
  <si>
    <t>Cost</t>
  </si>
  <si>
    <t>maielfeky2004@gmail.com</t>
  </si>
  <si>
    <t xml:space="preserve">مى محمود محمد ابراهيم </t>
  </si>
  <si>
    <t xml:space="preserve">maielfeky2004@gmail.com </t>
  </si>
  <si>
    <t>3rd year</t>
  </si>
  <si>
    <t>1/4  grilled chicken + 2 kofta + rice + bread + salad + tahini + juice (175 LE)</t>
  </si>
  <si>
    <t>Instapay</t>
  </si>
  <si>
    <t>https://drive.google.com/open?id=1SZKGM6CWIkc9qdEQm7sj9DfHnEK-iIMc</t>
  </si>
  <si>
    <t>jana.abdelaal06@eng-st.cu.edu.eg</t>
  </si>
  <si>
    <t>Jana Mostafa Mohamed Abdelaal</t>
  </si>
  <si>
    <t>01092204953</t>
  </si>
  <si>
    <t>1st year</t>
  </si>
  <si>
    <t>Fatet Shawerma + tomeya + juice (165 LE)</t>
  </si>
  <si>
    <t>https://drive.google.com/open?id=1PWtfJvtKL-k_pzLMZcLZZGzD0UffH5T7</t>
  </si>
  <si>
    <t>Fund</t>
  </si>
  <si>
    <t>malakosama839@gmail.com</t>
  </si>
  <si>
    <t>Malak Osama</t>
  </si>
  <si>
    <t>01111435588</t>
  </si>
  <si>
    <t>1 seekh sheesh + 2 kofta + rice + bread + salad + tahini + juice (180 LE)</t>
  </si>
  <si>
    <t>https://drive.google.com/open?id=1y13qwS_vLsLAhx7glKGfqyFJIZvyJ45R</t>
  </si>
  <si>
    <t>saifyamama770@gmail.com</t>
  </si>
  <si>
    <t xml:space="preserve">سيف محمود سيف النصر </t>
  </si>
  <si>
    <t>01002857700</t>
  </si>
  <si>
    <t>https://drive.google.com/open?id=1eD3KizDV3IbtT0vNRhIih9rPILzQ5Xgh</t>
  </si>
  <si>
    <t>safinaz.mohamed07@eng-st.cu.edu.eg</t>
  </si>
  <si>
    <t xml:space="preserve">Safinaz Mohamed Farouk </t>
  </si>
  <si>
    <t>01080555197</t>
  </si>
  <si>
    <t>https://drive.google.com/open?id=1zSanQXy103LOGLmL8pz2ezpYgxNUBUNK</t>
  </si>
  <si>
    <t>Vodafone Cash</t>
  </si>
  <si>
    <t>hamzaelghonemy17@gmail.com</t>
  </si>
  <si>
    <t>Hamza Elghonemy</t>
  </si>
  <si>
    <t>01004317315</t>
  </si>
  <si>
    <t>4th year</t>
  </si>
  <si>
    <t>https://drive.google.com/open?id=1TpYCBT4MF483Ze6A5gtgX-ND9jqbyfaq</t>
  </si>
  <si>
    <t xml:space="preserve">meals </t>
  </si>
  <si>
    <t>abdelrahman.abdelmeged05@eng-st.cu.edu.eg</t>
  </si>
  <si>
    <t>abdelrahman emad negm</t>
  </si>
  <si>
    <t>01032723117</t>
  </si>
  <si>
    <t>2nd year</t>
  </si>
  <si>
    <t>You will get your own meal</t>
  </si>
  <si>
    <t>https://drive.google.com/open?id=1USP3qrEhrU6vw7qO8tg-L07j_woiBWxE</t>
  </si>
  <si>
    <t>printing</t>
  </si>
  <si>
    <t>melezaly@gmail.com</t>
  </si>
  <si>
    <t>Mohamed Sheref Elezaly</t>
  </si>
  <si>
    <t>01019716969</t>
  </si>
  <si>
    <t>https://drive.google.com/open?id=1CX70hAtrCklEJHo7d7if6_djRDwhyKuY</t>
  </si>
  <si>
    <t>Telda</t>
  </si>
  <si>
    <t>water</t>
  </si>
  <si>
    <t>ayemad107@gmail.com</t>
  </si>
  <si>
    <t>Aya Emad</t>
  </si>
  <si>
    <t>01020425293</t>
  </si>
  <si>
    <t>https://drive.google.com/open?id=16nqtnRSgV1es98PDXONwb1nqE9oRQ4-p</t>
  </si>
  <si>
    <t>fra4a</t>
  </si>
  <si>
    <t>alidesouky1311@gmail.com</t>
  </si>
  <si>
    <t>ali mohamed hamdy</t>
  </si>
  <si>
    <t>01128804275</t>
  </si>
  <si>
    <t>External</t>
  </si>
  <si>
    <t>None (Getting your own meal)</t>
  </si>
  <si>
    <t>https://drive.google.com/open?id=1LeAQrop7RRJjak0xUJ08_PgCvzJyjR1x</t>
  </si>
  <si>
    <t>Youssef.kottb06@eng-st.cu.edu.eg</t>
  </si>
  <si>
    <t>يوسف مجدي عبدالخالق قطب</t>
  </si>
  <si>
    <t>01553602680</t>
  </si>
  <si>
    <t>https://drive.google.com/open?id=1LS1-I4R1UH1MHvBEjTgGIVN4s3i8Uhjj</t>
  </si>
  <si>
    <t>amrsafwat23@hotmail.com</t>
  </si>
  <si>
    <t>Amr Safwat</t>
  </si>
  <si>
    <t>01062022113</t>
  </si>
  <si>
    <t>https://drive.google.com/open?id=1kkr9egPFZQtnvsSH_bE3wXjDRrOyQcx6</t>
  </si>
  <si>
    <t>Total</t>
  </si>
  <si>
    <t>Rest</t>
  </si>
  <si>
    <t>hoortmr@gmail.com</t>
  </si>
  <si>
    <t>Hoor Tamer</t>
  </si>
  <si>
    <t>01018392642</t>
  </si>
  <si>
    <t>https://drive.google.com/open?id=1zCfZ5tWTwl-Ba9C3Qogho7uSEX__GWUJ</t>
  </si>
  <si>
    <t>hadeel.temraz07@eng-st.cu.edu.eg</t>
  </si>
  <si>
    <t>Hadeel amin</t>
  </si>
  <si>
    <t>01096385882</t>
  </si>
  <si>
    <t>https://drive.google.com/open?id=1lxpgIVy1-cNmdSc8Fmyup5Cvb-oo08fC</t>
  </si>
  <si>
    <t>camelliamarwan@gmail.com</t>
  </si>
  <si>
    <t>Camellia Marwan</t>
  </si>
  <si>
    <t>01018218644</t>
  </si>
  <si>
    <t>Graduate</t>
  </si>
  <si>
    <t>https://drive.google.com/open?id=16DkCLb3DUrvSIVdY07tHfcLA2aMS4Qhy</t>
  </si>
  <si>
    <t>markzaky18@gmail.com</t>
  </si>
  <si>
    <t xml:space="preserve">Mark Adel Abdelmaseh Zaky </t>
  </si>
  <si>
    <t>01554147556</t>
  </si>
  <si>
    <t>https://drive.google.com/open?id=16_gM0IFxwNpdsAmtVpuSjSuRRhvMkjTW</t>
  </si>
  <si>
    <t>hagersamir93@gmail.com</t>
  </si>
  <si>
    <t xml:space="preserve">Hager Samir </t>
  </si>
  <si>
    <t>01018894064</t>
  </si>
  <si>
    <t>https://drive.google.com/open?id=1jqke2SZPC3EjSy8XpxbqN16yvyqoZH-w</t>
  </si>
  <si>
    <t>Meals</t>
  </si>
  <si>
    <t>Count</t>
  </si>
  <si>
    <t>with profit</t>
  </si>
  <si>
    <t>profit</t>
  </si>
  <si>
    <t>without profit</t>
  </si>
  <si>
    <t>ay146160@gmail.com</t>
  </si>
  <si>
    <t>Ammar Yasser</t>
  </si>
  <si>
    <t>01200436916</t>
  </si>
  <si>
    <t>ay</t>
  </si>
  <si>
    <t>https://drive.google.com/open?id=1VdHpXS4-ulffd42hLw-hdRSx0nSabxfq</t>
  </si>
  <si>
    <t>rana.elbaga@yahoo.com</t>
  </si>
  <si>
    <t>Rana</t>
  </si>
  <si>
    <t>01003005200</t>
  </si>
  <si>
    <t>Rana.ElBaga02@eng-st.cu.edu.eg</t>
  </si>
  <si>
    <t>https://drive.google.com/open?id=1hceMPAMluIBUn7bLujyCZVgJMaVCqMvr</t>
  </si>
  <si>
    <t>1/2 grilled chicken + rice + bread + salad + tahini + juice (220 LE)</t>
  </si>
  <si>
    <t>yousuf.griezmann@gmail.com</t>
  </si>
  <si>
    <t>Yousuf Safwat</t>
  </si>
  <si>
    <t>01117022179</t>
  </si>
  <si>
    <t>yousuf_gabr@yahoo.com</t>
  </si>
  <si>
    <t>https://drive.google.com/open?id=1oiNWFSg2478X-ZdEYsDka1UmTatUHkep</t>
  </si>
  <si>
    <t>salma.mohamed13579.1@gmail.com</t>
  </si>
  <si>
    <t>Salma Mohamed Saad</t>
  </si>
  <si>
    <t>01142194703</t>
  </si>
  <si>
    <t>https://drive.google.com/open?id=1uEPQkEUnmSlqAOn8yZk-VndhLQGsXgZa</t>
  </si>
  <si>
    <t>hazemmostafa602@gmail.com</t>
  </si>
  <si>
    <t>Mostafa Mohamed Hazem</t>
  </si>
  <si>
    <t>01069955587</t>
  </si>
  <si>
    <t>https://drive.google.com/open?id=10M2LWIe7urxnJRVPr5SjInK3miVmSZBN</t>
  </si>
  <si>
    <t>meals (3omal)</t>
  </si>
  <si>
    <t>amgadshaapan@gmail.com</t>
  </si>
  <si>
    <t xml:space="preserve">Amgad mohamed </t>
  </si>
  <si>
    <t>01157174086</t>
  </si>
  <si>
    <t>https://drive.google.com/open?id=1N_vCekfixlU0LuJQSAwZPOsQTVVSf8d8</t>
  </si>
  <si>
    <t>Koshari + juice (70 LE) size 1</t>
  </si>
  <si>
    <t>amatalrahmansayed@gmail.com</t>
  </si>
  <si>
    <t xml:space="preserve">Amatalrahman Sayed </t>
  </si>
  <si>
    <t>01067643500</t>
  </si>
  <si>
    <t>https://drive.google.com/open?id=1dWt6D7VHTUjVOTyeGmRX3X3i4jNNV9wF</t>
  </si>
  <si>
    <t>Koshari + juice (80 LE) size 2</t>
  </si>
  <si>
    <t>Ahmedmamdouhenan18@gmail.com</t>
  </si>
  <si>
    <t>Ahmed Anan</t>
  </si>
  <si>
    <t>01095742883</t>
  </si>
  <si>
    <t xml:space="preserve">Ahmedmamdouhenan18@gmail.com </t>
  </si>
  <si>
    <t>https://drive.google.com/open?id=1OSfbZA4-Z8sXvla2-Fa8QJ1qwLzNLqwO</t>
  </si>
  <si>
    <t>Own meal</t>
  </si>
  <si>
    <t>jana.seif06@eng-st.cu.edu.eg</t>
  </si>
  <si>
    <t>Jana Waleed Abd Elhamid Seif</t>
  </si>
  <si>
    <t>01006476492</t>
  </si>
  <si>
    <t>https://drive.google.com/open?id=1SpEVgzb6hj-fBlj9Ttg1EC0wXrDhgqp1</t>
  </si>
  <si>
    <t>TOTAL</t>
  </si>
  <si>
    <t>basselmostafa0100@gmail.com</t>
  </si>
  <si>
    <t>Bassel Mostafa</t>
  </si>
  <si>
    <t>01159669826</t>
  </si>
  <si>
    <t>https://drive.google.com/open?id=1A7B1dYleBSCMfPA3cTgUWP5Fzep9yaLk</t>
  </si>
  <si>
    <t>amadian2005@gmail.com</t>
  </si>
  <si>
    <t>Ahmed Fouad Madian</t>
  </si>
  <si>
    <t>01010219016</t>
  </si>
  <si>
    <t>https://drive.google.com/open?id=1uDGlC0pyg0T4S-6rz-HgJQ40mKSWtEjK</t>
  </si>
  <si>
    <t>ahmed.moety05@eng-st.cu.edu.eg</t>
  </si>
  <si>
    <t>Ahmed Abdel Rahman Abdel Moety</t>
  </si>
  <si>
    <t>01020402183</t>
  </si>
  <si>
    <t>https://drive.google.com/open?id=1qc5ra7ox8LEFptHLm1N9iCS6AQhsd1qP</t>
  </si>
  <si>
    <t>a.allaithy2017@gmail.com</t>
  </si>
  <si>
    <t>Ammar tamer</t>
  </si>
  <si>
    <t>01020823969</t>
  </si>
  <si>
    <t>https://drive.google.com/open?id=1wPitPGJApVZb9h_IM1V65KXQEZpQRBHt</t>
  </si>
  <si>
    <t>israa.ibrahim05@eng-st.cu.edu.eg</t>
  </si>
  <si>
    <t>Israa Mohamed Ibrahim</t>
  </si>
  <si>
    <t>01557271007</t>
  </si>
  <si>
    <t>https://drive.google.com/open?id=1A0WhXRnWQ4oFl1evdNpbPfw7IGQOLJYc</t>
  </si>
  <si>
    <t>ash.raqat203@gmail.com</t>
  </si>
  <si>
    <t xml:space="preserve">ashraqat ahmed abdelrazek </t>
  </si>
  <si>
    <t>01154886970</t>
  </si>
  <si>
    <t>https://drive.google.com/open?id=1D8C6WoHPNyp5Ruz29rIFcfH7L4jJHaOO</t>
  </si>
  <si>
    <t>hyassen107@gmail.com</t>
  </si>
  <si>
    <t>يس محمد احمد عبدالعزيز</t>
  </si>
  <si>
    <t>01151522726</t>
  </si>
  <si>
    <t>yassin.ahmed06@eng-st.cu.edu.eg</t>
  </si>
  <si>
    <t>https://drive.google.com/open?id=12bXcH2A7Gl0f8PpUxgYUrJVKr1q5_BYb</t>
  </si>
  <si>
    <t>ma7moud200600@gmail.com</t>
  </si>
  <si>
    <t>محمود فتحى على محمد</t>
  </si>
  <si>
    <t>01277665091</t>
  </si>
  <si>
    <t>https://drive.google.com/open?id=1256jp6_DJxMWEia4aYLI0CjA25du47O_</t>
  </si>
  <si>
    <t>maro.same7@gmail.com</t>
  </si>
  <si>
    <t>مروان سامح</t>
  </si>
  <si>
    <t>01004979490</t>
  </si>
  <si>
    <t>https://drive.google.com/open?id=1ufYiVK9vzegJmT-zOxhmsl7QqAoe4Up_</t>
  </si>
  <si>
    <t>mohamedhamdy9707@gmail.com</t>
  </si>
  <si>
    <t>Mohamed Hamdy reda</t>
  </si>
  <si>
    <t>01122286120</t>
  </si>
  <si>
    <t>Mohamedhamdy9707@gmail.com</t>
  </si>
  <si>
    <t>https://drive.google.com/open?id=1xBu1x-NZhNwtZKzKZkVcRZB_uLwvs1EA</t>
  </si>
  <si>
    <t>mohamedkassem018@gmail.com</t>
  </si>
  <si>
    <t>محمد القاسم احمد</t>
  </si>
  <si>
    <t>01013854333</t>
  </si>
  <si>
    <t>https://drive.google.com/open?id=1VQ147ofa-wgK2Ej2A7t3Fwn4IzddE56i</t>
  </si>
  <si>
    <t>youssef.abdelrauf23@gmail.com</t>
  </si>
  <si>
    <t>Youssef mahmoud</t>
  </si>
  <si>
    <t>01127285500</t>
  </si>
  <si>
    <t>https://drive.google.com/open?id=19HN_i46t3xKbxV7T1ra-iBJu8Fs_3FVu</t>
  </si>
  <si>
    <t>adamghonaim1@gmail.com</t>
  </si>
  <si>
    <t>Adam Ghonaim</t>
  </si>
  <si>
    <t>01014303797</t>
  </si>
  <si>
    <t>https://drive.google.com/open?id=12z0oKvLxJXFBNVIi5I3jGA8N236oaj_2</t>
  </si>
  <si>
    <t>farahahmedkamal2004@gmail.com</t>
  </si>
  <si>
    <t>Farah Ahmed kamal</t>
  </si>
  <si>
    <t>01095152735</t>
  </si>
  <si>
    <t>Farahahmedkamal2004@gmail.com</t>
  </si>
  <si>
    <t>https://drive.google.com/open?id=1pBCrNvJitzNPWBM3nQmvLcWStPmvbCfo</t>
  </si>
  <si>
    <t>Alaa.alazim05@eng-st.cu.edu.eg</t>
  </si>
  <si>
    <t xml:space="preserve">Alaa Essam </t>
  </si>
  <si>
    <t>01125652266</t>
  </si>
  <si>
    <t>alaaessam446@gmail.com</t>
  </si>
  <si>
    <t>https://drive.google.com/open?id=1FtvSOKvICsyUEqS93Z6ppdsEI0gbEGR_</t>
  </si>
  <si>
    <t>elrefaey.islam2006@gmail.com</t>
  </si>
  <si>
    <t>Islam Mahmoud Abd Elmoneim Nabawy Elrefaey</t>
  </si>
  <si>
    <t>01203207567</t>
  </si>
  <si>
    <t>https://drive.google.com/open?id=178O9QcyS1coA_cMZpRjFKWjZU-l4OnfN</t>
  </si>
  <si>
    <t>aya.ahmed051@eng-st.cu.edu.eg</t>
  </si>
  <si>
    <t xml:space="preserve">Aya Ahmed MOAHMMED </t>
  </si>
  <si>
    <t>01286922389</t>
  </si>
  <si>
    <t>You will get your own meal ( 30 LE)</t>
  </si>
  <si>
    <t>https://drive.google.com/open?id=1Ctfm7wbh6u4fptVUKvi83atzDwocP8Vf</t>
  </si>
  <si>
    <t>thegentleman379@gmail.com</t>
  </si>
  <si>
    <t>Ibrahim Ahmed Ibrahim</t>
  </si>
  <si>
    <t>01014301833</t>
  </si>
  <si>
    <t>https://drive.google.com/open?id=1bk6B8D4k-Ap6jkMBxq6fqOB6UGxJidTt</t>
  </si>
  <si>
    <t>mostafa.mohamed16071@gmail.com</t>
  </si>
  <si>
    <t>مصطفى محمد زغلول كامل</t>
  </si>
  <si>
    <t>01120784392</t>
  </si>
  <si>
    <t>https://drive.google.com/open?id=1gKgH0dXpUXKE3ItKhbgz-yTa9rV4M5u-</t>
  </si>
  <si>
    <t>saifmohamed2004@gmail.com</t>
  </si>
  <si>
    <t xml:space="preserve">Saif Mohammed </t>
  </si>
  <si>
    <t>01114313677</t>
  </si>
  <si>
    <t>https://drive.google.com/open?id=1YSJSXaBdxVr-EAy8VZGQcLqJfM2W5zlv</t>
  </si>
  <si>
    <t>mohamed.hagras04@eng-st.cu.edu.eg</t>
  </si>
  <si>
    <t xml:space="preserve">Mohamed Hagras </t>
  </si>
  <si>
    <t>01114202643</t>
  </si>
  <si>
    <t>https://drive.google.com/open?id=157OBVTzcQVhTuhIL4B5lpCXH34z_5zRz</t>
  </si>
  <si>
    <t>seifeldin.amr2005@gmail.com</t>
  </si>
  <si>
    <t xml:space="preserve">Seif El Din </t>
  </si>
  <si>
    <t>01277444136</t>
  </si>
  <si>
    <t>https://drive.google.com/open?id=1sQpRejoV-C77o-G3T1N_oST_SvFix3U7</t>
  </si>
  <si>
    <t>habeba.ibrahem2016@gmail.com</t>
  </si>
  <si>
    <t xml:space="preserve">Habiba Ibrahim Zaki </t>
  </si>
  <si>
    <t>01005384448</t>
  </si>
  <si>
    <t>https://drive.google.com/open?id=1TzVTqdMiw_OHMd775lYniOkcbeVRe_mO</t>
  </si>
  <si>
    <t>ahmedmadel004@gmail.com</t>
  </si>
  <si>
    <t xml:space="preserve">Ahmed Adel </t>
  </si>
  <si>
    <t>01111384877</t>
  </si>
  <si>
    <t>https://drive.google.com/open?id=1qe0C-AYBXCiQsx5x41RVwM5j8lJVEFQa</t>
  </si>
  <si>
    <t>ziadnassif23@gmail.com</t>
  </si>
  <si>
    <t>Ziad Nassif</t>
  </si>
  <si>
    <t>01067954285</t>
  </si>
  <si>
    <t>https://drive.google.com/open?id=1ABZ6JnYBpClgezY7Y93xlsxpzC3pd7e8</t>
  </si>
  <si>
    <t>basmalatmohamed23@gmail.com</t>
  </si>
  <si>
    <t>Basmala Tarek Mohamed</t>
  </si>
  <si>
    <t>01157452268</t>
  </si>
  <si>
    <t>https://drive.google.com/open?id=1VkPbnpTo4TezPXThNWXWB9Yyo2TJIGn8</t>
  </si>
  <si>
    <t>sutyfady146@gmail.com</t>
  </si>
  <si>
    <t xml:space="preserve">Suty Fady </t>
  </si>
  <si>
    <t>01201409713</t>
  </si>
  <si>
    <t>https://drive.google.com/open?id=1Hvki397kdReikGuoGHwrNtg6iEGO219x</t>
  </si>
  <si>
    <t>sarahragaei06@gmail.com</t>
  </si>
  <si>
    <t>سارة محمد رجائي</t>
  </si>
  <si>
    <t>01028268501</t>
  </si>
  <si>
    <t>https://drive.google.com/open?id=1mXb5Xnjrjo1MRVEkcHca6B7KhwAxT6cj</t>
  </si>
  <si>
    <t>sagasadek164@gmail.com</t>
  </si>
  <si>
    <t>Saga Sadek</t>
  </si>
  <si>
    <t>01281627443</t>
  </si>
  <si>
    <t>https://drive.google.com/open?id=1p9kdtW2u41AcEAY1p5g29UiYOV05xB2P</t>
  </si>
  <si>
    <t>farahyehya8@gmail.com</t>
  </si>
  <si>
    <t>Farah Yehya</t>
  </si>
  <si>
    <t>https://drive.google.com/open?id=1fsOkNlTIYXUavLDrMDT1P2sunDpxD38M</t>
  </si>
  <si>
    <t>amaesams@gmail.com</t>
  </si>
  <si>
    <t xml:space="preserve">Arwa Muhammed </t>
  </si>
  <si>
    <t>01121904709</t>
  </si>
  <si>
    <t>https://drive.google.com/open?id=1N9RI5PJ89_T3tJXpu-qfd-NKJnFiIjJe</t>
  </si>
  <si>
    <t>medoamrm@gmail.com</t>
  </si>
  <si>
    <t>Mohamed ismail ali</t>
  </si>
  <si>
    <t>01144728929</t>
  </si>
  <si>
    <t>medoamrrm@gmail.com</t>
  </si>
  <si>
    <t>https://drive.google.com/open?id=1nSDYS6Ftd1evpDpwR1lBxpotUv5JSlBR</t>
  </si>
  <si>
    <t>Farah.Bekhet05@eng-st.cu.edu.eg</t>
  </si>
  <si>
    <t>Farah Ashry</t>
  </si>
  <si>
    <t>01022117452</t>
  </si>
  <si>
    <t>https://drive.google.com/open?id=1q7QFeXkJkvUt41U1pJMJKaqtzfqyLh3w</t>
  </si>
  <si>
    <t>mohamed.ahmed056@eng-st.cu.edu.eg</t>
  </si>
  <si>
    <t>محمد سيد عبدالمجيد احمد</t>
  </si>
  <si>
    <t>01550141107</t>
  </si>
  <si>
    <t>https://drive.google.com/open?id=1bkj_OG9qH-VgEsuz-V5K_VySymFgyev4</t>
  </si>
  <si>
    <t>hanag1539@gmail.com</t>
  </si>
  <si>
    <t>Hana Gamal</t>
  </si>
  <si>
    <t>01210092202</t>
  </si>
  <si>
    <t>https://drive.google.com/open?id=1SnvyCsELTSYbuuPGO8O4g-eTsxblt2rV</t>
  </si>
  <si>
    <t>yomnasabry252@gmail.com</t>
  </si>
  <si>
    <t xml:space="preserve">yomna Sabry </t>
  </si>
  <si>
    <t>01120287839</t>
  </si>
  <si>
    <t>https://drive.google.com/open?id=1gxHFfysQ7RgPcVzWjji71d8UBgY_8viv</t>
  </si>
  <si>
    <t>manarsaeed142536@gmail.com</t>
  </si>
  <si>
    <t xml:space="preserve">Manar Saeed Mohamed </t>
  </si>
  <si>
    <t>01095434960</t>
  </si>
  <si>
    <t>https://drive.google.com/open?id=1mOECExzkD-B4TUJ8TlhBB-0A52RA-wu6</t>
  </si>
  <si>
    <t>yasmin.elgamal02@gmail.com</t>
  </si>
  <si>
    <t>Yasmin Elgamal</t>
  </si>
  <si>
    <t>01117371516</t>
  </si>
  <si>
    <t>https://drive.google.com/open?id=1vTkj57yaD7UCrnBZDx3W7tpmHu7jczLM</t>
  </si>
  <si>
    <t>baph0608@gmail.com</t>
  </si>
  <si>
    <t>Mohamed Said Eid Hassanein</t>
  </si>
  <si>
    <t>01095157549</t>
  </si>
  <si>
    <t>https://drive.google.com/open?id=1_alXjbmKHlH2EMKbi8tMOwbU5QKRnThe</t>
  </si>
  <si>
    <t>david.bahaa1974@gmail.com</t>
  </si>
  <si>
    <t xml:space="preserve">David bahaa khalifa </t>
  </si>
  <si>
    <t>01270970234</t>
  </si>
  <si>
    <t>https://drive.google.com/open?id=1GQf89GUJqJO8_nwY2z8SeLJ99apcfvs3</t>
  </si>
  <si>
    <t>aya.eyad@eng.cu.edu.eg</t>
  </si>
  <si>
    <t>Aya Eyad</t>
  </si>
  <si>
    <t>01146024714</t>
  </si>
  <si>
    <t>https://drive.google.com/open?id=1SLIqwgqTNAfAI4xui-eIxtQ9a1FMS4Il</t>
  </si>
  <si>
    <t>amsay.sara@gmail.com</t>
  </si>
  <si>
    <t>sara alaa mohamed</t>
  </si>
  <si>
    <t>01040747199</t>
  </si>
  <si>
    <t>https://drive.google.com/open?id=12jfPiFgC_U-Pzhwt-4udHMUzsv18bQ3P</t>
  </si>
  <si>
    <t>mohamed.mahmoud03@eng-st.cu.edu.eg</t>
  </si>
  <si>
    <t xml:space="preserve">Mohamed Hisham Abdellatif </t>
  </si>
  <si>
    <t>01147368640</t>
  </si>
  <si>
    <t>https://drive.google.com/open?id=1T0D4AZ5Yr5nDa5sapYYhdrs0N8tfwJ9U</t>
  </si>
  <si>
    <t>jana.taha06@eng-st.cu.edu.eg</t>
  </si>
  <si>
    <t xml:space="preserve">Jana Hazem </t>
  </si>
  <si>
    <t>01556557043</t>
  </si>
  <si>
    <t>https://drive.google.com/open?id=1TG1O8oRzJcubR4Gk68xyUqaxj11GByvG</t>
  </si>
  <si>
    <t>amrdoma123@outlook.com</t>
  </si>
  <si>
    <t>Amr Doma</t>
  </si>
  <si>
    <t>+201008267676</t>
  </si>
  <si>
    <t>amrdoma123@outlook.om</t>
  </si>
  <si>
    <t>https://drive.google.com/open?id=1PUmmRrsx_e1VBjceNmAy-D70iStNG__g</t>
  </si>
  <si>
    <t>Youssef.Hassan04@eng-st.cu.ed.eg</t>
  </si>
  <si>
    <t xml:space="preserve">Youssef Ellakany </t>
  </si>
  <si>
    <t>01096655084</t>
  </si>
  <si>
    <t>https://drive.google.com/open?id=1_9Zq2GtcfdYgDUPfd92-SrrnqTMcMn5v</t>
  </si>
  <si>
    <t>monaelkholy71@gmail.com</t>
  </si>
  <si>
    <t>Mona Elkholy</t>
  </si>
  <si>
    <t>01119691155</t>
  </si>
  <si>
    <t>https://drive.google.com/open?id=1eZAWary1kG3ozWj6G_t6egN_rogujELL</t>
  </si>
  <si>
    <t>gogosalah509@gmail.com</t>
  </si>
  <si>
    <t xml:space="preserve">جنة عماد الدين صلاح </t>
  </si>
  <si>
    <t>01280064211</t>
  </si>
  <si>
    <t>https://drive.google.com/open?id=1SoXBO2U9X1b53GhQFb9sKbOOeguWWVVg</t>
  </si>
  <si>
    <t>siefsameh73@gmail.com</t>
  </si>
  <si>
    <t>Sief Eldin Sameh</t>
  </si>
  <si>
    <t>01143618976</t>
  </si>
  <si>
    <t>https://drive.google.com/open?id=1OYbMtQC_mY5wf-qw4lB5LoxhIg7w9Zvu</t>
  </si>
  <si>
    <t>neblo.2005@gmail.com</t>
  </si>
  <si>
    <t>Youssef Nabeel</t>
  </si>
  <si>
    <t>01116907012</t>
  </si>
  <si>
    <t>youssef.allah05@eng-st.cu.edu.eg</t>
  </si>
  <si>
    <t>https://drive.google.com/open?id=1VRxZ2FtGKoaqxSc_hrIiv4HR4QUH2naO</t>
  </si>
  <si>
    <t>karim2282004@gmail.com</t>
  </si>
  <si>
    <t xml:space="preserve">Karim mohamed elsayed </t>
  </si>
  <si>
    <t>01212194291</t>
  </si>
  <si>
    <t>https://drive.google.com/open?id=1zYybTyh4N6_NUZFAk7Lxig3g_tXEB0fO</t>
  </si>
  <si>
    <t>mando2005a@gmail.com</t>
  </si>
  <si>
    <t xml:space="preserve">Ahmed Reda </t>
  </si>
  <si>
    <t>01127916498</t>
  </si>
  <si>
    <t>https://drive.google.com/open?id=1ZPJI6UF4Yp07fOYVznVExcfmbsNUWPQw</t>
  </si>
  <si>
    <t>malakelhamshary13@gmail.com</t>
  </si>
  <si>
    <t>Malak Hamshary</t>
  </si>
  <si>
    <t>01018866121</t>
  </si>
  <si>
    <t>https://drive.google.com/open?id=1GclMB7q90zAlkiFYDqSypwuuito7vKEl</t>
  </si>
  <si>
    <t>radwa.mohamed07@eng-st.cu.edu.eg</t>
  </si>
  <si>
    <t>Radwa Hamdy</t>
  </si>
  <si>
    <t>01016796780</t>
  </si>
  <si>
    <t>https://drive.google.com/open?id=1XBbSQB0CeZRTY8vkHuY8sf7UprYMC8xm</t>
  </si>
  <si>
    <t>marizeraafat020@gmail.com</t>
  </si>
  <si>
    <t>Marize Raafat</t>
  </si>
  <si>
    <t>01212250615</t>
  </si>
  <si>
    <t>https://drive.google.com/open?id=1paPVf0Of3LLTrIaU9mssSfkPm2fQe8d4</t>
  </si>
  <si>
    <t>shhd89529@gmail.com</t>
  </si>
  <si>
    <t xml:space="preserve">شهد محمود فتحي شعبان </t>
  </si>
  <si>
    <t>01212507377</t>
  </si>
  <si>
    <t>https://drive.google.com/open?id=1_6_vSJZgDpx5g2ya_4Hj4_lMW1pZ7xhn</t>
  </si>
  <si>
    <t>hanaahmedghanem@gmail.com</t>
  </si>
  <si>
    <t>Hana Ahmed</t>
  </si>
  <si>
    <t>01098603361</t>
  </si>
  <si>
    <t>https://drive.google.com/open?id=18CKGPt8cJTsxjbH4BuhW7bOUQSHLrPDa</t>
  </si>
  <si>
    <t>mohamed.nabil.seddik@gmail.com</t>
  </si>
  <si>
    <t>Mohamed Nabil</t>
  </si>
  <si>
    <t>01096333138</t>
  </si>
  <si>
    <t>https://drive.google.com/open?id=1xbHHfCC2bnineuyqh8AlbOE8PGqc6XJu</t>
  </si>
  <si>
    <t>kirllosmagdy800@gmail.com</t>
  </si>
  <si>
    <t xml:space="preserve">Kirllos Magdy Labib </t>
  </si>
  <si>
    <t>01288654791</t>
  </si>
  <si>
    <t>https://drive.google.com/open?id=1Iw1iC4uMaPehIwmIwiJcQiy1zyFJ57Wc</t>
  </si>
  <si>
    <t>mohamed.razik041@eng-st.cu.edu.eg</t>
  </si>
  <si>
    <t>Mohamed Mostafa</t>
  </si>
  <si>
    <t>01117151930</t>
  </si>
  <si>
    <t>https://drive.google.com/open?id=1wQu1dtx5J8CqrA3BXUvgSTWTExL37uZU</t>
  </si>
  <si>
    <t>daikhaledwe@gmail.com</t>
  </si>
  <si>
    <t xml:space="preserve">Dai khaled Mohamed </t>
  </si>
  <si>
    <t>01110592373</t>
  </si>
  <si>
    <t>https://drive.google.com/open?id=1u-OFGFjMOMiJdBKezWsO-In92mxRb98_</t>
  </si>
  <si>
    <t>ziad.mohamed053@eng-st.cu.edu.eg</t>
  </si>
  <si>
    <t>Ziad farghal</t>
  </si>
  <si>
    <t>01091011363</t>
  </si>
  <si>
    <t>https://drive.google.com/open?id=1eQ-tGjxOJQtIblgfDI-pSTuFhedZ7LiE</t>
  </si>
  <si>
    <t>snbaaad51@gmail.com</t>
  </si>
  <si>
    <t>Omar Adel</t>
  </si>
  <si>
    <t>01001107385</t>
  </si>
  <si>
    <t>Snbaaad51@gmail.com</t>
  </si>
  <si>
    <t>https://drive.google.com/open?id=1Qbf2pHLgKui41tj-XVQOGFQWg7rcQOL9</t>
  </si>
  <si>
    <t>mahamad66@outlook.com</t>
  </si>
  <si>
    <t>Mohamed Ahmed Sayed Hassan Abdelrahman</t>
  </si>
  <si>
    <t>01066745581</t>
  </si>
  <si>
    <t>https://drive.google.com/open?id=1KoZeqk3TDJjMdMjWJjTUVM0JRV2BNLvs</t>
  </si>
  <si>
    <t>noureldinislam2006@gmail.com</t>
  </si>
  <si>
    <t xml:space="preserve">Noureldin Islam </t>
  </si>
  <si>
    <t>01066761618</t>
  </si>
  <si>
    <t>Noureldinislam2006@gmail.com</t>
  </si>
  <si>
    <t>https://drive.google.com/open?id=1P67C5LgPeHpLEJ5R672BfRi7P0jbTpNj</t>
  </si>
  <si>
    <t>ebrahimnas577@gmail.com</t>
  </si>
  <si>
    <t>ابراهيم ناصر ابراهيم</t>
  </si>
  <si>
    <t>01099520746</t>
  </si>
  <si>
    <t>https://drive.google.com/open?id=1KZkD15UPKqofprzaMCfI9qwBz1Tk6P6I</t>
  </si>
  <si>
    <t>ahmedbahr548@gmail.com</t>
  </si>
  <si>
    <t>Ahmed bahr</t>
  </si>
  <si>
    <t>01154709705</t>
  </si>
  <si>
    <t>Ahmedbahr548@gmail.com</t>
  </si>
  <si>
    <t>https://drive.google.com/open?id=1HE-ID9b03X-pMbIZrCYutpXwWrT3pwuw</t>
  </si>
  <si>
    <t>Ibrahim.Abdelkader051@gmail.com</t>
  </si>
  <si>
    <t>Ibrahim Abdelqader</t>
  </si>
  <si>
    <t>01156551386</t>
  </si>
  <si>
    <t>https://drive.google.com/open?id=1n90t7iMSbKHQpB3FjTs4Q-qK1rcCE3F7</t>
  </si>
  <si>
    <t>ziad.awad2105@gmail.com</t>
  </si>
  <si>
    <t>Ziad Mohamed Awad</t>
  </si>
  <si>
    <t>01272222356</t>
  </si>
  <si>
    <t>https://drive.google.com/open?id=1--WvkkW5jJj3XheCt1xTDgeaAZVIgTNr</t>
  </si>
  <si>
    <t>mayasherif118@gmail.com</t>
  </si>
  <si>
    <t>Maya Sherif Abdellatif</t>
  </si>
  <si>
    <t>01201051176</t>
  </si>
  <si>
    <t>maya.abdellatif06@eng-st.cu.edu.eg</t>
  </si>
  <si>
    <t>https://drive.google.com/open?id=1DhzRxAbhhQDczcUe0wUBF7NeqMzV4Lsh</t>
  </si>
  <si>
    <t>kareemahmazzaz@gmail.com</t>
  </si>
  <si>
    <t>01553857742</t>
  </si>
  <si>
    <t>https://drive.google.com/open?id=1X80RedLaqCKOWJ-CHmVIDrqydmOt_clN</t>
  </si>
  <si>
    <t>Omar.hamza3064@gmail.com</t>
  </si>
  <si>
    <t xml:space="preserve">Omar Mohamed Hamza </t>
  </si>
  <si>
    <t>01148819242</t>
  </si>
  <si>
    <t>https://drive.google.com/open?id=1Iy6Q3unoowEWZdxDvVtosAav8S4PpT43</t>
  </si>
  <si>
    <t>youssef.aboelela6@gmail.com</t>
  </si>
  <si>
    <t>Youssef Aboelela</t>
  </si>
  <si>
    <t>01063231932</t>
  </si>
  <si>
    <t>https://drive.google.com/open?id=1iAte7Bxrfcgb0HWc4ssd7zxh1wH5D957</t>
  </si>
  <si>
    <t>omarzogmar868@gmail.com</t>
  </si>
  <si>
    <t xml:space="preserve">Omar Walid Mohamed </t>
  </si>
  <si>
    <t>01028022993</t>
  </si>
  <si>
    <t>https://drive.google.com/open?id=1U7c3g4Ufyttyfm5wkms2WXEDtyTonRSP</t>
  </si>
  <si>
    <t>nada.h.n147@gmail.com</t>
  </si>
  <si>
    <t xml:space="preserve">Nada Hassan </t>
  </si>
  <si>
    <t>01060578179</t>
  </si>
  <si>
    <t>https://drive.google.com/open?id=12jBA6_BfNhjjXOpB2YCdm1Z7Vjs6g78D</t>
  </si>
  <si>
    <t>lonaalhaia02@gmail.com</t>
  </si>
  <si>
    <t>Luna Eyad</t>
  </si>
  <si>
    <t>01112772719</t>
  </si>
  <si>
    <t>https://drive.google.com/open?id=12w_Kmv6tKYGK2whSGcmMEl4rbcQYtvRu</t>
  </si>
  <si>
    <t>habiba.hammouda03@eng-st.cu.edu.eg</t>
  </si>
  <si>
    <t>Habiba Hammouda</t>
  </si>
  <si>
    <t>01069116214</t>
  </si>
  <si>
    <t>https://drive.google.com/open?id=1iRJJlUpYIKp4_kr8EBf9g_TSJKUfRag4</t>
  </si>
  <si>
    <t>meram7070@gmail.com</t>
  </si>
  <si>
    <t xml:space="preserve">ميرام محمود </t>
  </si>
  <si>
    <t>01123633001</t>
  </si>
  <si>
    <t>https://drive.google.com/open?id=169S7ovEz-cQjMB0S16BnqJ0j_A-A3N1u</t>
  </si>
  <si>
    <t>mostafa.mahmoud041@eng-st.cu.edu.eg</t>
  </si>
  <si>
    <t xml:space="preserve">Mostafa Aly Abdelhalim Mahmoud </t>
  </si>
  <si>
    <t>01063026453</t>
  </si>
  <si>
    <t>https://drive.google.com/open?id=17Lr1_QZs0NB-81C1eE3FsoBlVLBS9PWC</t>
  </si>
  <si>
    <t>amkma978@gmail.com</t>
  </si>
  <si>
    <t>عبدالله محمد خليفة</t>
  </si>
  <si>
    <t>01028356446</t>
  </si>
  <si>
    <t>https://drive.google.com/open?id=19_xkeVWGFBhwOFR3SEqaCHQGC2ZQm6sZ</t>
  </si>
  <si>
    <t>shiamaa.shahen03@eng-st.cu.edu.eg</t>
  </si>
  <si>
    <t xml:space="preserve">Shaimaa kamel </t>
  </si>
  <si>
    <t>01126192549</t>
  </si>
  <si>
    <t>https://drive.google.com/open?id=1fzATmm0Odf-arsJlfhnr0DdL9OzFyMih</t>
  </si>
  <si>
    <t xml:space="preserve">Muhammad Salah </t>
  </si>
  <si>
    <t>https://drive.google.com/open?id=1J20r55yz9NPXxXEIakOEk5qkAkV0Mr4K</t>
  </si>
  <si>
    <t>Bassant zaki</t>
  </si>
  <si>
    <t>https://drive.google.com/open?id=1MJRNJgbECLQWBcpX69u2AHa55-Bby229</t>
  </si>
  <si>
    <t>nouran5hani@gmail.com</t>
  </si>
  <si>
    <t xml:space="preserve">Nouran Hani </t>
  </si>
  <si>
    <t>01122853991</t>
  </si>
  <si>
    <t>https://drive.google.com/open?id=1YNzK-a9i92NyaXLJvvVyTQHonM0rqOrC</t>
  </si>
  <si>
    <t>mazen.abdou07@eng-st.cu.edu.eg</t>
  </si>
  <si>
    <t>مازن محمد علي</t>
  </si>
  <si>
    <t>01102122604</t>
  </si>
  <si>
    <t>https://drive.google.com/open?id=1V8U05EW5W6gMNK53bU05yoSyO4q-RJyW</t>
  </si>
  <si>
    <t>shahdahmed2021@gmail.com</t>
  </si>
  <si>
    <t xml:space="preserve">Shahd Ahmed </t>
  </si>
  <si>
    <t>01119374825</t>
  </si>
  <si>
    <t>https://drive.google.com/open?id=1W0biy-yO4ochr8uWtCUM-VzppbjPRWdm</t>
  </si>
  <si>
    <t>engy.shenif05@eng-st.cu.edu.eg</t>
  </si>
  <si>
    <t xml:space="preserve">Engy Wael Shenif </t>
  </si>
  <si>
    <t>01226378211</t>
  </si>
  <si>
    <t>https://drive.google.com/open?id=1kEaI4V9vuipfHNX8Az46jq8Z0GCoL1QY</t>
  </si>
  <si>
    <t>khadigaali89@gmail.com</t>
  </si>
  <si>
    <t xml:space="preserve">Khadija Alfeqy </t>
  </si>
  <si>
    <t>01204360446</t>
  </si>
  <si>
    <t>Khasdigaali89@gmail.com</t>
  </si>
  <si>
    <t>https://drive.google.com/open?id=1leOlRxnnfRMkbvGp5as7-BwdVQCW3jJE</t>
  </si>
  <si>
    <t>ahmed.naem04@eng-st.cu.edu.eg</t>
  </si>
  <si>
    <t>Ahmed Wael Ahmed Naem</t>
  </si>
  <si>
    <t>01110218410</t>
  </si>
  <si>
    <t>aw80287@gmail.com</t>
  </si>
  <si>
    <t>https://drive.google.com/open?id=1NLCY1QJ3vHZScPWPfw3-pnkZqTstJ1uA</t>
  </si>
  <si>
    <t>mostafa.elsayed03@eng-st.cu.edu.eg</t>
  </si>
  <si>
    <t>Mostafa ayman</t>
  </si>
  <si>
    <t>01283592094</t>
  </si>
  <si>
    <t>https://drive.google.com/open?id=1cT70Z85A5gEu_jqhxyx2thEY3L81oLmc</t>
  </si>
  <si>
    <t>mostafa.ibrahim041@eng-st.cu.edu.eg</t>
  </si>
  <si>
    <t>Mostafa Alwakel</t>
  </si>
  <si>
    <t>01069502738</t>
  </si>
  <si>
    <t>https://drive.google.com/open?id=1RFJ2P5Y3p_mLYYgcrzu0Vp4RhVpKG1Ow</t>
  </si>
  <si>
    <t>zeyad1839@gmail.com</t>
  </si>
  <si>
    <t>Zeyad Ashraf Ahmed Mohamed</t>
  </si>
  <si>
    <t>01063601422</t>
  </si>
  <si>
    <t>https://drive.google.com/open?id=1rEchTFN3s8wF_LfCiUdOX--kjqJaRUVx</t>
  </si>
  <si>
    <t>nourankhattab02@gmail.com</t>
  </si>
  <si>
    <t>Nouran mahmoud khatab</t>
  </si>
  <si>
    <t>01112421817</t>
  </si>
  <si>
    <t>https://drive.google.com/open?id=1hZErtHfBhU_IpmWMRXIKx_1oGe2jfF9x</t>
  </si>
  <si>
    <t>amr.mohamed047@eng-st.cu.edu.eg</t>
  </si>
  <si>
    <t>Amr Ahmed Gohar</t>
  </si>
  <si>
    <t>01552366372</t>
  </si>
  <si>
    <t>https://drive.google.com/open?id=1Fq1mWJUPng06onTyrUafC8eEJqTlJnXv</t>
  </si>
  <si>
    <t>ekramahmed942@gmail.com</t>
  </si>
  <si>
    <t>Ekram Ahmad Auf Mohamed</t>
  </si>
  <si>
    <t>https://drive.google.com/open?id=1GI1iMkzyWPbQGfxGX2JosCvg_Kg_O72G</t>
  </si>
  <si>
    <t>habibaalaa4380@gmail.com</t>
  </si>
  <si>
    <t xml:space="preserve">Habiba Alaaeldin Mohamed </t>
  </si>
  <si>
    <t>01015641850</t>
  </si>
  <si>
    <t>.</t>
  </si>
  <si>
    <t>https://drive.google.com/open?id=1ZUfdK8YmHd3NguvdhjA9SVf9jQSRjufE</t>
  </si>
  <si>
    <t>carolineehab24@gmail.com</t>
  </si>
  <si>
    <t>Caroline Ehab El-baiady</t>
  </si>
  <si>
    <t>01211339964</t>
  </si>
  <si>
    <t>https://drive.google.com/open?id=17kH244z08CC4J6xrxvw34VDD9Eclm2sp</t>
  </si>
  <si>
    <t>zeyad.abdelfattah05@eng-st.cu.edu.eg</t>
  </si>
  <si>
    <t>Zeyad Mohamed Hamed Abdelfattah</t>
  </si>
  <si>
    <t>01027318802</t>
  </si>
  <si>
    <t>https://drive.google.com/open?id=1WYeQEWcKI5cEsTl_ebHNrv6uqbJHrJdb</t>
  </si>
  <si>
    <t>aliatarek270@gmail.com</t>
  </si>
  <si>
    <t>Alia Tarek</t>
  </si>
  <si>
    <t>01097426448</t>
  </si>
  <si>
    <t>Aliatarek270@gmail.com</t>
  </si>
  <si>
    <t>https://drive.google.com/open?id=15BWC6uQxty9PQRZRY7yLUZs1zmA2b66T</t>
  </si>
  <si>
    <t>mariam.ahmed05@eng-st.cu.edu.eg</t>
  </si>
  <si>
    <t>Mariam Mohamed Mohamed Ahmed</t>
  </si>
  <si>
    <t>01121123376</t>
  </si>
  <si>
    <t>https://drive.google.com/open?id=1Ot0l2stIEBF2ICLDYySGLb5SPkV8aZ7g</t>
  </si>
  <si>
    <t>abdelrahman.zakaria03@gmail.com</t>
  </si>
  <si>
    <t>AbdelRahman Hesham Zakaria</t>
  </si>
  <si>
    <t>01141184843</t>
  </si>
  <si>
    <t>https://drive.google.com/open?id=1HLM8i2a2Ta3S9I-kr8qp5tXdvxI6kUHO</t>
  </si>
  <si>
    <t>sama.mahmoud06@eng-st.cu.edu.eg</t>
  </si>
  <si>
    <t xml:space="preserve">Sama Mohamed Ahmed Mahmoud </t>
  </si>
  <si>
    <t>01550155037</t>
  </si>
  <si>
    <t>samamohamed122013@gmail.com</t>
  </si>
  <si>
    <t>https://drive.google.com/open?id=19UcdUZrlWpWMp-bG-C0X737nHZ0mewTv</t>
  </si>
  <si>
    <t>noormdawoud51@gmail.com</t>
  </si>
  <si>
    <t>Noor Mohamed Talaat</t>
  </si>
  <si>
    <t>01117267250</t>
  </si>
  <si>
    <t>https://drive.google.com/open?id=1_Yjw4BEL-Jv4fySfrXqTO5O8xrxsttdb</t>
  </si>
  <si>
    <t>karim.abdelmoaty05@eng-st.cu.edu.eg</t>
  </si>
  <si>
    <t>Karim Hassan</t>
  </si>
  <si>
    <t>01004348815</t>
  </si>
  <si>
    <t>https://drive.google.com/open?id=1aWj1F-2CcbaCNiAMMlvp8B3ChQKFi8Ai</t>
  </si>
  <si>
    <t>abdullahmohbekhit@gmail.com</t>
  </si>
  <si>
    <t xml:space="preserve">Abdullah Mohamed Bekhit </t>
  </si>
  <si>
    <t>01066429451</t>
  </si>
  <si>
    <t>https://drive.google.com/open?id=1qS_aeRO4-qGfBr836Nyk12ODZTqv2I8G</t>
  </si>
  <si>
    <t>mostafahany748@gmail.com</t>
  </si>
  <si>
    <t>Moustafa Hani Ali</t>
  </si>
  <si>
    <t>01019638496</t>
  </si>
  <si>
    <t>https://drive.google.com/open?id=17ZfWosM7Je2y8cvcweX8zPChBeH7fCeZ</t>
  </si>
  <si>
    <t>omar.amin06@eng-st.cu.edu.eg</t>
  </si>
  <si>
    <t>Omar Amein</t>
  </si>
  <si>
    <t>01155461403</t>
  </si>
  <si>
    <t>https://drive.google.com/open?id=11Sl3UuA7d09ZuF9CaYCIXoyicNBvvVw2</t>
  </si>
  <si>
    <t>yosefmohamed532006@gmail.com</t>
  </si>
  <si>
    <t>Yosef Mohamed Mogahed Mortada</t>
  </si>
  <si>
    <t>01155626187</t>
  </si>
  <si>
    <t>https://drive.google.com/open?id=1ljIViV0pZUP35v7Yog5JdB6_8MewSUfc</t>
  </si>
  <si>
    <t>salsabilalkitkat@gmail.com</t>
  </si>
  <si>
    <t>Salsabeel Mostafa Ragaa</t>
  </si>
  <si>
    <t>01125405866</t>
  </si>
  <si>
    <t>https://drive.google.com/open?id=1jCOQMnqZJzK86v8R5DxaBXMQLLmaEDuM</t>
  </si>
  <si>
    <t>Hamsa.abdulrazek03@eng-st.cu.edu.eg</t>
  </si>
  <si>
    <t>Hamsa Saber</t>
  </si>
  <si>
    <t>01020880538</t>
  </si>
  <si>
    <t>https://drive.google.com/open?id=1f6NYuJRGQrBWzdhnaZIVl0J1cL9bpnNV</t>
  </si>
  <si>
    <t>habiba.sayed041@eng-st.cu.edu.eg</t>
  </si>
  <si>
    <t>habiba</t>
  </si>
  <si>
    <t>01150011389</t>
  </si>
  <si>
    <t>https://drive.google.com/open?id=1cs6mxTK9duBPviMJEUu31LcgCzurdBnt</t>
  </si>
  <si>
    <t>medo.hoba233@gmail.com</t>
  </si>
  <si>
    <t xml:space="preserve">Mohamed Ehab Ahmed Mohamed </t>
  </si>
  <si>
    <t>01028884977</t>
  </si>
  <si>
    <t>https://drive.google.com/open?id=1xf17XnwpIuFXkxfG49kUFRypYlinCZcX</t>
  </si>
  <si>
    <t>ahmed.saleh05@eng-st.cu.edu.eg</t>
  </si>
  <si>
    <t>Ahmed Hashem Ahmed Saleh</t>
  </si>
  <si>
    <t>01006687250</t>
  </si>
  <si>
    <t>https://drive.google.com/open?id=10PUhSQrXFPYPqiLqHUo5Hm6GIQWn-svB</t>
  </si>
  <si>
    <t>Gana.ahmed06@eng-st.cu.edu.eg</t>
  </si>
  <si>
    <t>جنا محمد احمد</t>
  </si>
  <si>
    <t>01033210120</t>
  </si>
  <si>
    <t>https://drive.google.com/open?id=1G7G9nCqk6vmhayCjoXq9_Sr_Sh7gqvn-</t>
  </si>
  <si>
    <t>shahdayman.r05@gmail.com</t>
  </si>
  <si>
    <t xml:space="preserve">Shahd Ayman Rezk </t>
  </si>
  <si>
    <t>01021307233</t>
  </si>
  <si>
    <t xml:space="preserve">shahdayman.r05@gmail.com </t>
  </si>
  <si>
    <t>https://drive.google.com/open?id=1NUIpYym-KGsIJWGh0O-SiounnbJ84wi1</t>
  </si>
  <si>
    <t>ahmadswael@gmail.com</t>
  </si>
  <si>
    <t>احمد وائل شنيف</t>
  </si>
  <si>
    <t>01208588687</t>
  </si>
  <si>
    <t>https://drive.google.com/open?id=1wK5hAP36K3AfD5cHKLkGGByr3y_56htu</t>
  </si>
  <si>
    <t>nada.morad05@eng-st.cu.edu.eg</t>
  </si>
  <si>
    <t xml:space="preserve">Nada Mostafa Kamel </t>
  </si>
  <si>
    <t>01227144894</t>
  </si>
  <si>
    <t>https://drive.google.com/open?id=12dOeS0xR06DmZsaE5sEP5K_jmNOVZmYT</t>
  </si>
  <si>
    <t>nayera.sherif.elaraby@gmail.com</t>
  </si>
  <si>
    <t xml:space="preserve">Nayera Sherif </t>
  </si>
  <si>
    <t>01140172112</t>
  </si>
  <si>
    <t>https://drive.google.com/open?id=1azlxj5ZPQkiYoSR7VpDtCFtz2DM6X8FW</t>
  </si>
  <si>
    <t>alaaabdelnasser096@gmail.com</t>
  </si>
  <si>
    <t xml:space="preserve">Alaa Abd El-Nasser </t>
  </si>
  <si>
    <t>01120173419</t>
  </si>
  <si>
    <t>https://drive.google.com/open?id=17YlpwSve2lv3x_yhln5nOt9aBouAfbVu</t>
  </si>
  <si>
    <t>ashrafrahma402@gmail.com</t>
  </si>
  <si>
    <t>Rahma Ashraf Mohamed</t>
  </si>
  <si>
    <t>01157260005</t>
  </si>
  <si>
    <t>https://drive.google.com/open?id=10FbSIxDL1J1dSVzpGaeddA-Q2gL8Ad08</t>
  </si>
  <si>
    <t>alabasy@live.com</t>
  </si>
  <si>
    <t>Mohamed Alabasy</t>
  </si>
  <si>
    <t>01065156668</t>
  </si>
  <si>
    <t>Alabasy@live.com</t>
  </si>
  <si>
    <t>https://drive.google.com/open?id=15d49uUFKAyD3IEbjQU3gFIIs1C1O9rt8</t>
  </si>
  <si>
    <t>ghazzlhossam2005@gmail.com</t>
  </si>
  <si>
    <t xml:space="preserve">Ghazzl Hossameldin </t>
  </si>
  <si>
    <t>00201157259004</t>
  </si>
  <si>
    <t>https://drive.google.com/open?id=1HV83sVfX3F90sqiI7BeVpYOeoISnKNIu</t>
  </si>
  <si>
    <t>alaakhaled22911@gmail.com</t>
  </si>
  <si>
    <t xml:space="preserve">Alaa khaled taha </t>
  </si>
  <si>
    <t>01115369372</t>
  </si>
  <si>
    <t>https://drive.google.com/open?id=1W08rs4RGr_wXWF3SjKD-iYIM4b-LXW9A</t>
  </si>
  <si>
    <t>nourhankarim1612@gmail.com</t>
  </si>
  <si>
    <t>nourhan Elshehawi</t>
  </si>
  <si>
    <t>01274441688</t>
  </si>
  <si>
    <t>nourhanelshehawi06@yahoo.com</t>
  </si>
  <si>
    <t>https://drive.google.com/open?id=1vOJtCLL_GYPEZwTDQ9855rK9p4RBabyd</t>
  </si>
  <si>
    <t>dana.jazar06@gmail.com</t>
  </si>
  <si>
    <t xml:space="preserve">Dana Hamad Mahmoud Abujazar </t>
  </si>
  <si>
    <t>01066272991</t>
  </si>
  <si>
    <t>https://drive.google.com/open?id=1vsI3h2yjDHM9XkI0r0SdW2xQoYQ5cRS8</t>
  </si>
  <si>
    <t>shahdragab89@gmail.com</t>
  </si>
  <si>
    <t>Shahd Ahmed Ragab</t>
  </si>
  <si>
    <t>+20 1101754491</t>
  </si>
  <si>
    <t>https://drive.google.com/open?id=1cJmGSXXr81crJI_8knj9qN4fsxg2XNvR</t>
  </si>
  <si>
    <t>youssefelroby2206@gmail.com</t>
  </si>
  <si>
    <t xml:space="preserve">Youssef El Roby </t>
  </si>
  <si>
    <t>01116358633</t>
  </si>
  <si>
    <t>You</t>
  </si>
  <si>
    <t>https://drive.google.com/open?id=1jW0hijRWT9EOdTteTDA68mIcN3BQ5nqx</t>
  </si>
  <si>
    <t>hasnaa.hossam119@gmail.com</t>
  </si>
  <si>
    <t>Hasnaa Hossam</t>
  </si>
  <si>
    <t>01023445511</t>
  </si>
  <si>
    <t>https://drive.google.com/open?id=18eAm8aGL_4XkASNeUnm1iJBhyr1gtzu-</t>
  </si>
  <si>
    <t>fatma.elsharkawy03@eng-st.cu.edu.eg</t>
  </si>
  <si>
    <t>Fatma Said</t>
  </si>
  <si>
    <t>01120083384</t>
  </si>
  <si>
    <t>https://drive.google.com/open?id=1g5ea4VrJ2XQqoy-zR6IJUyO8j07SR8H0</t>
  </si>
  <si>
    <t>youssefhisham366@gmail.com</t>
  </si>
  <si>
    <t xml:space="preserve">يوسف هشام عبدالله </t>
  </si>
  <si>
    <t>01145605830</t>
  </si>
  <si>
    <t>Youssefhisham366@gmail.com</t>
  </si>
  <si>
    <t>https://drive.google.com/open?id=1FePcR_AkR8lDlLxVUDhWRYwZcUXJrz7E</t>
  </si>
  <si>
    <t>laila.elhosiny03@eng-st.cu.edu.eg</t>
  </si>
  <si>
    <t>Laila Khaled</t>
  </si>
  <si>
    <t>01022797225</t>
  </si>
  <si>
    <t>Lailakhaled352@gmail.com</t>
  </si>
  <si>
    <t>https://drive.google.com/open?id=1NH3YXRyuZoVOrnWvkr2dtuIxDvNGi22-</t>
  </si>
  <si>
    <t>ganna.ahmed05@eng-st.cu.edu.eg</t>
  </si>
  <si>
    <t xml:space="preserve"> جنة أحمد جمعة أحمد</t>
  </si>
  <si>
    <t>01148268546</t>
  </si>
  <si>
    <t xml:space="preserve">ganna.ahmed05@eng-st.cu.edu.eg </t>
  </si>
  <si>
    <t>https://drive.google.com/open?id=1L-6PgmS2vHwzov4S-4omMAohohoyofE8</t>
  </si>
  <si>
    <t>yousseftawfikcourse2006@gmail.com</t>
  </si>
  <si>
    <t xml:space="preserve">Youssef Ahmed Sayed </t>
  </si>
  <si>
    <t>01007176352</t>
  </si>
  <si>
    <t>https://drive.google.com/open?id=1t1JgrpUFnspdSenWycXkn6beDVLAXc6P</t>
  </si>
  <si>
    <t>rana.albayoumi@gmail.com</t>
  </si>
  <si>
    <t xml:space="preserve">Rana albayoumi </t>
  </si>
  <si>
    <t>01012292779</t>
  </si>
  <si>
    <t>https://drive.google.com/open?id=1yRmzniA7exGRSkFK1CM8nEYbm2YWxPUF</t>
  </si>
  <si>
    <t>eman.abdelazeem04@eng-st.cu.edu.eg</t>
  </si>
  <si>
    <t>Eman Abdelazeem</t>
  </si>
  <si>
    <t>01090089431</t>
  </si>
  <si>
    <t>https://drive.google.com/open?id=1fkpa2no6ZU6G-m1oucL7AH-thgJa0cOX</t>
  </si>
  <si>
    <t>bassel.shahat03@eng-st.cu.edu.eg</t>
  </si>
  <si>
    <t>Bassel ahmed hammad</t>
  </si>
  <si>
    <t>01069447761</t>
  </si>
  <si>
    <t>https://drive.google.com/open?id=1jo_X3b74sxrGD2y5s7zhgYKAjaMPLdWD</t>
  </si>
  <si>
    <t>amostafa98744@gmail.com</t>
  </si>
  <si>
    <t>عبدالله مصطفى السيد صالح</t>
  </si>
  <si>
    <t>01018549517</t>
  </si>
  <si>
    <t>https://drive.google.com/open?id=1_8A_Dl1nL8ahh0J24SlSpmxA3JRi7wNH</t>
  </si>
  <si>
    <t>nada.sayed04@eng-st.cu.edu.eg</t>
  </si>
  <si>
    <t>Nada Hesham</t>
  </si>
  <si>
    <t>01228770007</t>
  </si>
  <si>
    <t>https://drive.google.com/open?id=1WbymGzZO8fxrFID41XtTUR3UOK4sxrwh</t>
  </si>
  <si>
    <t>youssef.moselhi061@eng-st.cu.edu.eg</t>
  </si>
  <si>
    <t>Youssef</t>
  </si>
  <si>
    <t>01001006414</t>
  </si>
  <si>
    <t>https://drive.google.com/open?id=1SyRxlsvQPfKj_yEwgLXVZdM0gUdz8eT8</t>
  </si>
  <si>
    <t>yousefsamy2005.ys@gmail.com</t>
  </si>
  <si>
    <t>Yousef Samy</t>
  </si>
  <si>
    <t>01127785744</t>
  </si>
  <si>
    <t>https://drive.google.com/open?id=1I-yu-t_bSXUKQBGCDLFVHxBmn7sQm4Dn</t>
  </si>
  <si>
    <t>yahyaabouhsien@gmail.com</t>
  </si>
  <si>
    <t>Yahya ismail</t>
  </si>
  <si>
    <t>01069610593</t>
  </si>
  <si>
    <t>https://drive.google.com/open?id=1_0Y6B4WL6LDte2THsh6t4_q2p-Gp14Yj</t>
  </si>
  <si>
    <t>kareem.s.sabryy@gmail.com</t>
  </si>
  <si>
    <t>kareem sabry</t>
  </si>
  <si>
    <t>01101600198</t>
  </si>
  <si>
    <t>kssmam99@gmail.com</t>
  </si>
  <si>
    <t>https://drive.google.com/open?id=1Lb2Fk7eOqYYPV31thEFx2pOaVKkYV_lv</t>
  </si>
  <si>
    <t>jumana.elashry@gmail.com</t>
  </si>
  <si>
    <t>Jumana ahmed</t>
  </si>
  <si>
    <t>01007739902</t>
  </si>
  <si>
    <t>https://drive.google.com/open?id=18DM3NwLLly6SQVeSJEQFqp2iqs8tBrwJ</t>
  </si>
  <si>
    <t>omarref3at2031@gmail.com</t>
  </si>
  <si>
    <t>Omar Ahmed Mohmed Refaat</t>
  </si>
  <si>
    <t>01156228722</t>
  </si>
  <si>
    <t>https://drive.google.com/open?id=1ZKy6ZPUI_MoFmauSxxKcSqvoA1AQ25Yb</t>
  </si>
  <si>
    <t>khaledmohamedkhaled115@gmail.com</t>
  </si>
  <si>
    <t>Khalid Zain El-Dein</t>
  </si>
  <si>
    <t>01202824200</t>
  </si>
  <si>
    <t>https://drive.google.com/open?id=1s6XxWqKNbRH_F0963cqGqTimjkbYjbt3</t>
  </si>
  <si>
    <t>mahmoudnasr445566@gmail.com</t>
  </si>
  <si>
    <t>Mahmoud Mohammed mahmoud nasr</t>
  </si>
  <si>
    <t>01110232111</t>
  </si>
  <si>
    <t>https://drive.google.com/open?id=1pl8nyGahY2-T_39Ic7GxBBoVNT8L-z_F</t>
  </si>
  <si>
    <t>mu7ammadnasser05@gmail.com</t>
  </si>
  <si>
    <t xml:space="preserve">محمد ناصر فاروق ابو سريع </t>
  </si>
  <si>
    <t>01125829682</t>
  </si>
  <si>
    <t>https://drive.google.com/open?id=1pjtnojEvjK6mzs5Om1MMmgOEeezmZqMU</t>
  </si>
  <si>
    <t>ahd.hassan06@eng-st.cu.edu.eg</t>
  </si>
  <si>
    <t xml:space="preserve">Ahd Ahmed Mahmoud </t>
  </si>
  <si>
    <t>https://drive.google.com/open?id=19I_L4GEBWoEmuhhJdGiDhLczn21Pi_8Y</t>
  </si>
  <si>
    <t>ziad.ebrahim04@eng-st.cu.edu.eg</t>
  </si>
  <si>
    <t xml:space="preserve">Ziad Osama </t>
  </si>
  <si>
    <t>01006699668</t>
  </si>
  <si>
    <t>Ziad.ebrahim04@eng-st.cu.edu.eg</t>
  </si>
  <si>
    <t>https://drive.google.com/open?id=1THofYdaqyrUeW9Eq-NbJbUMPpiFYcyss</t>
  </si>
  <si>
    <t>شهد محمود فتحي شعبان</t>
  </si>
  <si>
    <t>https://drive.google.com/open?id=1UQVodqWh9o-MqO6vlyd3DPRTBMZwBaoX</t>
  </si>
  <si>
    <t>mohamedhazemwwe@gmail.com</t>
  </si>
  <si>
    <t xml:space="preserve">Mohamed Hazem </t>
  </si>
  <si>
    <t>01096605213</t>
  </si>
  <si>
    <t>https://drive.google.com/open?id=1ROscW4WXDgOc3nrY4kaMN6Q45LCg_upG</t>
  </si>
  <si>
    <t>aliigad2005@gmail.com</t>
  </si>
  <si>
    <t>Ali Gad</t>
  </si>
  <si>
    <t>01147609120</t>
  </si>
  <si>
    <t>https://drive.google.com/open?id=1v_6GD2tH06h3CT1FRmQI0nC8JrkQvTB3</t>
  </si>
  <si>
    <t>habibaabdelmeneem01@gmail.com</t>
  </si>
  <si>
    <t xml:space="preserve">Habiba Abdelmeneem Ramadan </t>
  </si>
  <si>
    <t>01225019091</t>
  </si>
  <si>
    <t>https://drive.google.com/open?id=1eeEESgdpaEuxZAXOzlLtGbprxt-jVyo3</t>
  </si>
  <si>
    <t>engy.elsarta@gmail.com</t>
  </si>
  <si>
    <t>Engy mohamed elsarta</t>
  </si>
  <si>
    <t>01064524876</t>
  </si>
  <si>
    <t>https://drive.google.com/open?id=1_qG4JmaxkWE6NUBqryvarzrlVpPcemgt</t>
  </si>
  <si>
    <t>joycewael6@gmail.com</t>
  </si>
  <si>
    <t>Joyce wael</t>
  </si>
  <si>
    <t>01202086363</t>
  </si>
  <si>
    <t>Joycewael6@gmail.com</t>
  </si>
  <si>
    <t>https://drive.google.com/open?id=1bmSbfD3lnWTE4gs-x71jmi-qoz-k9zRt</t>
  </si>
  <si>
    <t>abdelrahmanalaa846@gmail.com</t>
  </si>
  <si>
    <t>Abdelrahman Alaa</t>
  </si>
  <si>
    <t>01123342770</t>
  </si>
  <si>
    <t>https://drive.google.com/open?id=19Ac44LDFf1oHb2sJcE_IS3Q9tiCa0H20</t>
  </si>
  <si>
    <t>ghada.elboghdady041@eng-st.cu.edu.eg</t>
  </si>
  <si>
    <t xml:space="preserve">Ghada Elboghdady </t>
  </si>
  <si>
    <t>01281837524</t>
  </si>
  <si>
    <t>https://drive.google.com/open?id=1vQbrIc_fDOHLyN0aFd-MBNVFrD7aXhgn</t>
  </si>
  <si>
    <t>abdelrahman.sameh05@eng-st.cu.edu.eg</t>
  </si>
  <si>
    <t>Abdelrahman Sameh</t>
  </si>
  <si>
    <t>01068812331</t>
  </si>
  <si>
    <t>https://drive.google.com/open?id=1QNuVCa2Vf59AIXhWe5ewjRXIeSHdLQYw</t>
  </si>
  <si>
    <t>mennanabiil04@gmail.com</t>
  </si>
  <si>
    <t>Menna Nabil</t>
  </si>
  <si>
    <t>01098970700</t>
  </si>
  <si>
    <t>https://drive.google.com/open?id=1lg2ZDkgrKxsrXTuEtmuwr9-YtX1JQGMU</t>
  </si>
  <si>
    <t>nada.mohammad03@eng-st.cu.edu.eg</t>
  </si>
  <si>
    <t>Nada Omar</t>
  </si>
  <si>
    <t>01117258200</t>
  </si>
  <si>
    <t>https://drive.google.com/open?id=1K3AuoNx1HIKdkZBGgm-BbaMF6peTuDkd</t>
  </si>
  <si>
    <t>joody.essaam@gmail.com</t>
  </si>
  <si>
    <t>Judy Ashmawy</t>
  </si>
  <si>
    <t>01000556487</t>
  </si>
  <si>
    <t>https://drive.google.com/open?id=1Fk-d3-s04EaaFWI7SGl6W-ZOnSix0TFu</t>
  </si>
  <si>
    <t>samam0362@gmail.com</t>
  </si>
  <si>
    <t>Sama Mohamed</t>
  </si>
  <si>
    <t>01066121208</t>
  </si>
  <si>
    <t>https://drive.google.com/open?id=1hjmY3AFcAsLi2hbNP7dIXb60RDZjG7z0</t>
  </si>
  <si>
    <t>malak.fathy05@eng-st.cu.edu.eg</t>
  </si>
  <si>
    <t xml:space="preserve">Malak fathy </t>
  </si>
  <si>
    <t>01002103001</t>
  </si>
  <si>
    <t>https://drive.google.com/open?id=1A1YqgHm68ri2PslaSBzY6jwyZTwwzldg</t>
  </si>
  <si>
    <t>sarah.mohamed03@eng-st.cu.edu.eg</t>
  </si>
  <si>
    <t xml:space="preserve">Sarah Sameh Mohamed </t>
  </si>
  <si>
    <t>01097385416</t>
  </si>
  <si>
    <t>https://drive.google.com/open?id=1EPfettbxpjUoBj0Mf7fDIbii-1US5ka4</t>
  </si>
  <si>
    <t>mmmahmoudmazen208@gmail.com</t>
  </si>
  <si>
    <t xml:space="preserve">Mahmoud Mazen </t>
  </si>
  <si>
    <t>01014396019</t>
  </si>
  <si>
    <t>https://drive.google.com/open?id=1aUY1_FiS3ctAWhB5re9WmBOTrSFns4Z3</t>
  </si>
  <si>
    <t>mohamednasr095@outlook.com</t>
  </si>
  <si>
    <t xml:space="preserve">Mohamed Ahmed Mohamed Ahmed Nasr </t>
  </si>
  <si>
    <t>01149830020</t>
  </si>
  <si>
    <t>Mohamednasr095@outlook.com</t>
  </si>
  <si>
    <t>https://drive.google.com/open?id=1nl-WQ6LQnYpkES5t3ApRJcMS2Qcmtnxb</t>
  </si>
  <si>
    <t>hassankhalafalla11@gmail.com</t>
  </si>
  <si>
    <t>Hassan Khalaf Allah</t>
  </si>
  <si>
    <t>01123399308</t>
  </si>
  <si>
    <t>https://drive.google.com/open?id=1jqtQqiHg1L52FnVKHeETKAgYWwE2RTxh</t>
  </si>
  <si>
    <t>maeltuny@gmail.com</t>
  </si>
  <si>
    <t>Malak Eltuny</t>
  </si>
  <si>
    <t>01121965558</t>
  </si>
  <si>
    <t>https://drive.google.com/open?id=1rojX7_8O-mW6jmVKUZqpwhK2evHrK_ER</t>
  </si>
  <si>
    <t>mennaatef222006@gmail.com</t>
  </si>
  <si>
    <t>Menna Atef</t>
  </si>
  <si>
    <t>01112933038</t>
  </si>
  <si>
    <t>https://drive.google.com/open?id=1VFYGpmxBMGrj_n8wb3igHc9JvaSsZZfd</t>
  </si>
  <si>
    <t>hamdyfathi2@gmail.com</t>
  </si>
  <si>
    <t>Hamdy Ahmed</t>
  </si>
  <si>
    <t>01016080971</t>
  </si>
  <si>
    <t>https://drive.google.com/open?id=1fGtbx_fHD1WhrbkLuh3VlecugAe6qkp2</t>
  </si>
  <si>
    <t>tasnim.othman05@eng-st.cu.edu.eg</t>
  </si>
  <si>
    <t>Tasnim Osama</t>
  </si>
  <si>
    <t>01016229545</t>
  </si>
  <si>
    <t>https://drive.google.com/open?id=1GHvEXeDAvpNVJ6GFDLHyVWRS__7-_-T3</t>
  </si>
  <si>
    <t>raghad.abdelhameedd@gmail.com</t>
  </si>
  <si>
    <t xml:space="preserve">Raghad Abdelhameed </t>
  </si>
  <si>
    <t>01018121230</t>
  </si>
  <si>
    <t>https://drive.google.com/open?id=1zALkS5IOf6yhaMDWi--7-jqYoYNQtRp9</t>
  </si>
  <si>
    <t>engmennah2024@gmail.com</t>
  </si>
  <si>
    <t>Menna Ashraf</t>
  </si>
  <si>
    <t>01140661728</t>
  </si>
  <si>
    <t>https://drive.google.com/open?id=1hsnO6BYq2GEKkSa79lO2IV5xeWsUX27q</t>
  </si>
  <si>
    <t>rawan.tawab04@eng-st.cu.edu.eg</t>
  </si>
  <si>
    <t xml:space="preserve">Rawan Mohamed Nasr </t>
  </si>
  <si>
    <t>01155960307</t>
  </si>
  <si>
    <t>https://drive.google.com/open?id=1Tfjyh4gpiQacOrDpiZ33uszdWDWaqz61</t>
  </si>
  <si>
    <t>salma.ali04@eng-st.cu.edu.eg</t>
  </si>
  <si>
    <t xml:space="preserve">Salma Ali </t>
  </si>
  <si>
    <t>01285772647</t>
  </si>
  <si>
    <t>https://drive.google.com/open?id=1DaNBjRldxti8qGEctFlu4esLSYU_TE2o</t>
  </si>
  <si>
    <t>jumanamr2005@gmail.com</t>
  </si>
  <si>
    <t>Jumana amr</t>
  </si>
  <si>
    <t>01098759021</t>
  </si>
  <si>
    <t>Jumanamr2005@gmail.com</t>
  </si>
  <si>
    <t>https://drive.google.com/open?id=1D_PhZCe34nSZNOzlsJawdZZFYhH4jASA</t>
  </si>
  <si>
    <t>jana.nour05@eng-st.cu.edu.eg</t>
  </si>
  <si>
    <t xml:space="preserve">Jana Gamal Abdelzaher </t>
  </si>
  <si>
    <t>01100275221</t>
  </si>
  <si>
    <t>https://drive.google.com/open?id=15njxMzuaDnSXvc5hkfWma-kQMTrVH0av</t>
  </si>
  <si>
    <t>youssefhassanein17@gmail.com</t>
  </si>
  <si>
    <t>Youssef Hassanien</t>
  </si>
  <si>
    <t>01015411320</t>
  </si>
  <si>
    <t>https://drive.google.com/open?id=1b-KW788HtoOEjbdCPbbe8j9vzvXCGEku</t>
  </si>
  <si>
    <t>alaamobarek727@gmail.com</t>
  </si>
  <si>
    <t>Alaa Ahmed Mubarak</t>
  </si>
  <si>
    <t>01558845252</t>
  </si>
  <si>
    <t>https://drive.google.com/open?id=1G1La2DonFfJRc0zWCHnu91UWseLPsLWL</t>
  </si>
  <si>
    <t>hanaelsadek1109@gmail.com</t>
  </si>
  <si>
    <t>Hana elsadek</t>
  </si>
  <si>
    <t>01208034225</t>
  </si>
  <si>
    <t>https://drive.google.com/open?id=1FXEw4tR07TH0N-ReNA-xkpFg8hnXNxgL</t>
  </si>
  <si>
    <t>merna3254@gmail.com</t>
  </si>
  <si>
    <t>أميرة سيد</t>
  </si>
  <si>
    <t>01128714735</t>
  </si>
  <si>
    <t>https://drive.google.com/open?id=1Pka2GnI1nnQsbi9eRnDjLblKcM1MHTLO</t>
  </si>
  <si>
    <t>nadakhaled9277@gmail.com</t>
  </si>
  <si>
    <t>Nada Khaled</t>
  </si>
  <si>
    <t>01068524680</t>
  </si>
  <si>
    <t>https://drive.google.com/open?id=1bfe0HnbfFm3NsD5a6bB-2GbaoMyWFSuG</t>
  </si>
  <si>
    <t>nabilabolbola772@gmail.com</t>
  </si>
  <si>
    <t>Nabila</t>
  </si>
  <si>
    <t>01555389118</t>
  </si>
  <si>
    <t>https://drive.google.com/open?id=14DS0TaP80fD9b0o9YwiDueV6OcJlBiy4</t>
  </si>
  <si>
    <t>somaia.ahmed03@gmail.com</t>
  </si>
  <si>
    <t>Somaia Ahmed</t>
  </si>
  <si>
    <t>01017596169</t>
  </si>
  <si>
    <t>https://drive.google.com/open?id=1YFkvln2DVbZphhyc4xPCCMqKHnfRd48p</t>
  </si>
  <si>
    <t>yasminemahmoudsalah@gmail.com</t>
  </si>
  <si>
    <t xml:space="preserve">Yasmine Mahmoud </t>
  </si>
  <si>
    <t>01032299867</t>
  </si>
  <si>
    <t>https://drive.google.com/open?id=1pxkbMGbd2U2m8QHgY55X0OyZSKXIZyw4</t>
  </si>
  <si>
    <t>yarrasaher188@gmail.com</t>
  </si>
  <si>
    <t>yara saher</t>
  </si>
  <si>
    <t>01090458030</t>
  </si>
  <si>
    <t>https://drive.google.com/open?id=1uU2xH0Hs5r0RRNo36Y8NJcRhRJ435diT</t>
  </si>
  <si>
    <t>ayat.al-ruby02@eng-st.cu.edu.eg</t>
  </si>
  <si>
    <t>Ayat Tarek</t>
  </si>
  <si>
    <t>01552550503</t>
  </si>
  <si>
    <t>https://drive.google.com/open?id=1VidLYlBceMInBvPJRHodPsZtSm9XbtB0</t>
  </si>
  <si>
    <t>malakosamaabdelhameed@gmail.com</t>
  </si>
  <si>
    <t>01023706707</t>
  </si>
  <si>
    <t>https://drive.google.com/open?id=1eczchkCnxDCNi-J4EMeUBqQBHM6QVGgA</t>
  </si>
  <si>
    <t>eng.jananour@gmail.com</t>
  </si>
  <si>
    <t>Sohilia emad</t>
  </si>
  <si>
    <t>https://drive.google.com/open?id=1uA6TT-w-FsKYFOUeK-7DyQjI_BuOhzOE</t>
  </si>
  <si>
    <t>mohamed.hady03@eng-st.cu.edu.eg</t>
  </si>
  <si>
    <t>Mohamed Hamdy</t>
  </si>
  <si>
    <t>01553088115</t>
  </si>
  <si>
    <t>https://drive.google.com/open?id=1HLatPvH_3XZlrJUK8dVkWAfPdaKYmwdf</t>
  </si>
  <si>
    <t>amafify74@gmail.com</t>
  </si>
  <si>
    <t>Ahmed kamal</t>
  </si>
  <si>
    <t>01200299210</t>
  </si>
  <si>
    <t xml:space="preserve">ayeahmed39@gmail.com </t>
  </si>
  <si>
    <t xml:space="preserve">Aya Ahmed Farouk </t>
  </si>
  <si>
    <t>01554539653</t>
  </si>
  <si>
    <t>monayakout209@gmail.com</t>
  </si>
  <si>
    <t xml:space="preserve">Mona Ahmed Mohamed </t>
  </si>
  <si>
    <t>01229816773</t>
  </si>
  <si>
    <t xml:space="preserve">ybadr05@gmail.com </t>
  </si>
  <si>
    <t xml:space="preserve">Yasmeen Badr </t>
  </si>
  <si>
    <t>01100305789</t>
  </si>
  <si>
    <t>malaksaadm255@gmail.com</t>
  </si>
  <si>
    <t>Malak Saad</t>
  </si>
  <si>
    <t>Amiray572@gmail.com</t>
  </si>
  <si>
    <t xml:space="preserve">Amira yasser mohamed </t>
  </si>
  <si>
    <t>Mennat.abdelfattah04@eng-st.edu.cu.eg</t>
  </si>
  <si>
    <t xml:space="preserve">Mennat Allah Khalifa </t>
  </si>
  <si>
    <t>Osama.Khalifa04@eng-st.cu.edu.eg</t>
  </si>
  <si>
    <t>Osama Magdy Ali</t>
  </si>
  <si>
    <t>nouranhisham@hotmail.com</t>
  </si>
  <si>
    <t>Nouran hisham</t>
  </si>
  <si>
    <t>01280421720</t>
  </si>
  <si>
    <t>Tamim.amrn@gmail.com</t>
  </si>
  <si>
    <t>Tamem amr</t>
  </si>
  <si>
    <t>01016076080</t>
  </si>
  <si>
    <t>mayamohamed364@gmail.com</t>
  </si>
  <si>
    <t>مايا محمد</t>
  </si>
  <si>
    <t>01122773367</t>
  </si>
  <si>
    <t>ahmed.saker20191@gmail.com</t>
  </si>
  <si>
    <t>احمد صقر</t>
  </si>
  <si>
    <t xml:space="preserve">abdullah.mahmoud06@eng-st.cu.edu.eg </t>
  </si>
  <si>
    <t>Abdallah saeed</t>
  </si>
  <si>
    <t xml:space="preserve">rowidamohamed135@gmail.com </t>
  </si>
  <si>
    <t xml:space="preserve">Rowida Mohamed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</si>
</sst>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rgb="FFFFFFFF"/>
      <name val="Arial"/>
      <scheme val="minor"/>
    </font>
    <font>
      <u/>
      <color rgb="FF0000FF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351C75"/>
        <bgColor rgb="FF351C75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674EA7"/>
        <bgColor rgb="FF674EA7"/>
      </patternFill>
    </fill>
    <fill>
      <patternFill patternType="solid">
        <fgColor rgb="FF1155CC"/>
        <bgColor rgb="FF1155CC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/>
    </xf>
    <xf borderId="0" fillId="5" fontId="3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0"/>
    </xf>
    <xf borderId="1" fillId="4" fontId="1" numFmtId="0" xfId="0" applyAlignment="1" applyBorder="1" applyFont="1">
      <alignment horizontal="center"/>
    </xf>
    <xf borderId="1" fillId="4" fontId="1" numFmtId="0" xfId="0" applyBorder="1" applyFont="1"/>
    <xf borderId="0" fillId="6" fontId="3" numFmtId="0" xfId="0" applyAlignment="1" applyFill="1" applyFont="1">
      <alignment horizontal="center" readingOrder="0" vertical="center"/>
    </xf>
    <xf borderId="1" fillId="4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7" fontId="3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Font="1"/>
    <xf borderId="0" fillId="8" fontId="3" numFmtId="0" xfId="0" applyAlignment="1" applyFill="1" applyFont="1">
      <alignment horizontal="center" readingOrder="0" vertical="center"/>
    </xf>
    <xf borderId="0" fillId="4" fontId="1" numFmtId="0" xfId="0" applyAlignment="1" applyFont="1">
      <alignment readingOrder="0"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ont="1">
      <alignment horizontal="center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0" fillId="1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31" displayName="Form_Responses" name="Form_Responses" id="1">
  <tableColumns count="10">
    <tableColumn name="Timestamp" id="1"/>
    <tableColumn name="Email address" id="2"/>
    <tableColumn name="Name  " id="3"/>
    <tableColumn name="Phone Number " id="4"/>
    <tableColumn name="Email" id="5"/>
    <tableColumn name="Year " id="6"/>
    <tableColumn name="Choose your meal " id="7"/>
    <tableColumn name="Payment Method" id="8"/>
    <tableColumn name="Payment Picture" id="9"/>
    <tableColumn name="Cost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pBCrNvJitzNPWBM3nQmvLcWStPmvbCfo" TargetMode="External"/><Relationship Id="rId190" Type="http://schemas.openxmlformats.org/officeDocument/2006/relationships/hyperlink" Target="https://drive.google.com/open?id=1EPfettbxpjUoBj0Mf7fDIbii-1US5ka4" TargetMode="External"/><Relationship Id="rId42" Type="http://schemas.openxmlformats.org/officeDocument/2006/relationships/hyperlink" Target="https://drive.google.com/open?id=178O9QcyS1coA_cMZpRjFKWjZU-l4OnfN" TargetMode="External"/><Relationship Id="rId41" Type="http://schemas.openxmlformats.org/officeDocument/2006/relationships/hyperlink" Target="https://drive.google.com/open?id=1FtvSOKvICsyUEqS93Z6ppdsEI0gbEGR_" TargetMode="External"/><Relationship Id="rId44" Type="http://schemas.openxmlformats.org/officeDocument/2006/relationships/hyperlink" Target="https://drive.google.com/open?id=1bk6B8D4k-Ap6jkMBxq6fqOB6UGxJidTt" TargetMode="External"/><Relationship Id="rId194" Type="http://schemas.openxmlformats.org/officeDocument/2006/relationships/hyperlink" Target="https://drive.google.com/open?id=1rojX7_8O-mW6jmVKUZqpwhK2evHrK_ER" TargetMode="External"/><Relationship Id="rId43" Type="http://schemas.openxmlformats.org/officeDocument/2006/relationships/hyperlink" Target="https://drive.google.com/open?id=1Ctfm7wbh6u4fptVUKvi83atzDwocP8Vf" TargetMode="External"/><Relationship Id="rId193" Type="http://schemas.openxmlformats.org/officeDocument/2006/relationships/hyperlink" Target="https://drive.google.com/open?id=1jqtQqiHg1L52FnVKHeETKAgYWwE2RTxh" TargetMode="External"/><Relationship Id="rId46" Type="http://schemas.openxmlformats.org/officeDocument/2006/relationships/hyperlink" Target="https://drive.google.com/open?id=1YSJSXaBdxVr-EAy8VZGQcLqJfM2W5zlv" TargetMode="External"/><Relationship Id="rId192" Type="http://schemas.openxmlformats.org/officeDocument/2006/relationships/hyperlink" Target="https://drive.google.com/open?id=1nl-WQ6LQnYpkES5t3ApRJcMS2Qcmtnxb" TargetMode="External"/><Relationship Id="rId45" Type="http://schemas.openxmlformats.org/officeDocument/2006/relationships/hyperlink" Target="https://drive.google.com/open?id=1gKgH0dXpUXKE3ItKhbgz-yTa9rV4M5u-" TargetMode="External"/><Relationship Id="rId191" Type="http://schemas.openxmlformats.org/officeDocument/2006/relationships/hyperlink" Target="https://drive.google.com/open?id=1aUY1_FiS3ctAWhB5re9WmBOTrSFns4Z3" TargetMode="External"/><Relationship Id="rId48" Type="http://schemas.openxmlformats.org/officeDocument/2006/relationships/hyperlink" Target="https://drive.google.com/open?id=1sQpRejoV-C77o-G3T1N_oST_SvFix3U7" TargetMode="External"/><Relationship Id="rId187" Type="http://schemas.openxmlformats.org/officeDocument/2006/relationships/hyperlink" Target="https://drive.google.com/open?id=1Fk-d3-s04EaaFWI7SGl6W-ZOnSix0TFu" TargetMode="External"/><Relationship Id="rId47" Type="http://schemas.openxmlformats.org/officeDocument/2006/relationships/hyperlink" Target="https://drive.google.com/open?id=157OBVTzcQVhTuhIL4B5lpCXH34z_5zRz" TargetMode="External"/><Relationship Id="rId186" Type="http://schemas.openxmlformats.org/officeDocument/2006/relationships/hyperlink" Target="https://drive.google.com/open?id=1K3AuoNx1HIKdkZBGgm-BbaMF6peTuDkd" TargetMode="External"/><Relationship Id="rId185" Type="http://schemas.openxmlformats.org/officeDocument/2006/relationships/hyperlink" Target="https://drive.google.com/open?id=1lg2ZDkgrKxsrXTuEtmuwr9-YtX1JQGMU" TargetMode="External"/><Relationship Id="rId49" Type="http://schemas.openxmlformats.org/officeDocument/2006/relationships/hyperlink" Target="https://drive.google.com/open?id=1TzVTqdMiw_OHMd775lYniOkcbeVRe_mO" TargetMode="External"/><Relationship Id="rId184" Type="http://schemas.openxmlformats.org/officeDocument/2006/relationships/hyperlink" Target="https://drive.google.com/open?id=1QNuVCa2Vf59AIXhWe5ewjRXIeSHdLQYw" TargetMode="External"/><Relationship Id="rId189" Type="http://schemas.openxmlformats.org/officeDocument/2006/relationships/hyperlink" Target="https://drive.google.com/open?id=1A1YqgHm68ri2PslaSBzY6jwyZTwwzldg" TargetMode="External"/><Relationship Id="rId188" Type="http://schemas.openxmlformats.org/officeDocument/2006/relationships/hyperlink" Target="https://drive.google.com/open?id=1hjmY3AFcAsLi2hbNP7dIXb60RDZjG7z0" TargetMode="External"/><Relationship Id="rId31" Type="http://schemas.openxmlformats.org/officeDocument/2006/relationships/hyperlink" Target="https://drive.google.com/open?id=1A0WhXRnWQ4oFl1evdNpbPfw7IGQOLJYc" TargetMode="External"/><Relationship Id="rId30" Type="http://schemas.openxmlformats.org/officeDocument/2006/relationships/hyperlink" Target="https://drive.google.com/open?id=1wPitPGJApVZb9h_IM1V65KXQEZpQRBHt" TargetMode="External"/><Relationship Id="rId33" Type="http://schemas.openxmlformats.org/officeDocument/2006/relationships/hyperlink" Target="https://drive.google.com/open?id=12bXcH2A7Gl0f8PpUxgYUrJVKr1q5_BYb" TargetMode="External"/><Relationship Id="rId183" Type="http://schemas.openxmlformats.org/officeDocument/2006/relationships/hyperlink" Target="https://drive.google.com/open?id=1vQbrIc_fDOHLyN0aFd-MBNVFrD7aXhgn" TargetMode="External"/><Relationship Id="rId32" Type="http://schemas.openxmlformats.org/officeDocument/2006/relationships/hyperlink" Target="https://drive.google.com/open?id=1D8C6WoHPNyp5Ruz29rIFcfH7L4jJHaOO" TargetMode="External"/><Relationship Id="rId182" Type="http://schemas.openxmlformats.org/officeDocument/2006/relationships/hyperlink" Target="https://drive.google.com/open?id=19Ac44LDFf1oHb2sJcE_IS3Q9tiCa0H20" TargetMode="External"/><Relationship Id="rId35" Type="http://schemas.openxmlformats.org/officeDocument/2006/relationships/hyperlink" Target="https://drive.google.com/open?id=1ufYiVK9vzegJmT-zOxhmsl7QqAoe4Up_" TargetMode="External"/><Relationship Id="rId181" Type="http://schemas.openxmlformats.org/officeDocument/2006/relationships/hyperlink" Target="https://drive.google.com/open?id=1bmSbfD3lnWTE4gs-x71jmi-qoz-k9zRt" TargetMode="External"/><Relationship Id="rId34" Type="http://schemas.openxmlformats.org/officeDocument/2006/relationships/hyperlink" Target="https://drive.google.com/open?id=1256jp6_DJxMWEia4aYLI0CjA25du47O_" TargetMode="External"/><Relationship Id="rId180" Type="http://schemas.openxmlformats.org/officeDocument/2006/relationships/hyperlink" Target="https://drive.google.com/open?id=1_qG4JmaxkWE6NUBqryvarzrlVpPcemgt" TargetMode="External"/><Relationship Id="rId37" Type="http://schemas.openxmlformats.org/officeDocument/2006/relationships/hyperlink" Target="https://drive.google.com/open?id=1VQ147ofa-wgK2Ej2A7t3Fwn4IzddE56i" TargetMode="External"/><Relationship Id="rId176" Type="http://schemas.openxmlformats.org/officeDocument/2006/relationships/hyperlink" Target="https://drive.google.com/open?id=1UQVodqWh9o-MqO6vlyd3DPRTBMZwBaoX" TargetMode="External"/><Relationship Id="rId36" Type="http://schemas.openxmlformats.org/officeDocument/2006/relationships/hyperlink" Target="https://drive.google.com/open?id=1xBu1x-NZhNwtZKzKZkVcRZB_uLwvs1EA" TargetMode="External"/><Relationship Id="rId175" Type="http://schemas.openxmlformats.org/officeDocument/2006/relationships/hyperlink" Target="https://drive.google.com/open?id=1THofYdaqyrUeW9Eq-NbJbUMPpiFYcyss" TargetMode="External"/><Relationship Id="rId39" Type="http://schemas.openxmlformats.org/officeDocument/2006/relationships/hyperlink" Target="https://drive.google.com/open?id=12z0oKvLxJXFBNVIi5I3jGA8N236oaj_2" TargetMode="External"/><Relationship Id="rId174" Type="http://schemas.openxmlformats.org/officeDocument/2006/relationships/hyperlink" Target="https://drive.google.com/open?id=19I_L4GEBWoEmuhhJdGiDhLczn21Pi_8Y" TargetMode="External"/><Relationship Id="rId38" Type="http://schemas.openxmlformats.org/officeDocument/2006/relationships/hyperlink" Target="https://drive.google.com/open?id=19HN_i46t3xKbxV7T1ra-iBJu8Fs_3FVu" TargetMode="External"/><Relationship Id="rId173" Type="http://schemas.openxmlformats.org/officeDocument/2006/relationships/hyperlink" Target="https://drive.google.com/open?id=1pjtnojEvjK6mzs5Om1MMmgOEeezmZqMU" TargetMode="External"/><Relationship Id="rId179" Type="http://schemas.openxmlformats.org/officeDocument/2006/relationships/hyperlink" Target="https://drive.google.com/open?id=1eeEESgdpaEuxZAXOzlLtGbprxt-jVyo3" TargetMode="External"/><Relationship Id="rId178" Type="http://schemas.openxmlformats.org/officeDocument/2006/relationships/hyperlink" Target="https://drive.google.com/open?id=1v_6GD2tH06h3CT1FRmQI0nC8JrkQvTB3" TargetMode="External"/><Relationship Id="rId177" Type="http://schemas.openxmlformats.org/officeDocument/2006/relationships/hyperlink" Target="https://drive.google.com/open?id=1ROscW4WXDgOc3nrY4kaMN6Q45LCg_upG" TargetMode="External"/><Relationship Id="rId20" Type="http://schemas.openxmlformats.org/officeDocument/2006/relationships/hyperlink" Target="https://drive.google.com/open?id=1oiNWFSg2478X-ZdEYsDka1UmTatUHkep" TargetMode="External"/><Relationship Id="rId22" Type="http://schemas.openxmlformats.org/officeDocument/2006/relationships/hyperlink" Target="https://drive.google.com/open?id=10M2LWIe7urxnJRVPr5SjInK3miVmSZBN" TargetMode="External"/><Relationship Id="rId21" Type="http://schemas.openxmlformats.org/officeDocument/2006/relationships/hyperlink" Target="https://drive.google.com/open?id=1uEPQkEUnmSlqAOn8yZk-VndhLQGsXgZa" TargetMode="External"/><Relationship Id="rId24" Type="http://schemas.openxmlformats.org/officeDocument/2006/relationships/hyperlink" Target="https://drive.google.com/open?id=1dWt6D7VHTUjVOTyeGmRX3X3i4jNNV9wF" TargetMode="External"/><Relationship Id="rId23" Type="http://schemas.openxmlformats.org/officeDocument/2006/relationships/hyperlink" Target="https://drive.google.com/open?id=1N_vCekfixlU0LuJQSAwZPOsQTVVSf8d8" TargetMode="External"/><Relationship Id="rId26" Type="http://schemas.openxmlformats.org/officeDocument/2006/relationships/hyperlink" Target="https://drive.google.com/open?id=1SpEVgzb6hj-fBlj9Ttg1EC0wXrDhgqp1" TargetMode="External"/><Relationship Id="rId25" Type="http://schemas.openxmlformats.org/officeDocument/2006/relationships/hyperlink" Target="https://drive.google.com/open?id=1OSfbZA4-Z8sXvla2-Fa8QJ1qwLzNLqwO" TargetMode="External"/><Relationship Id="rId28" Type="http://schemas.openxmlformats.org/officeDocument/2006/relationships/hyperlink" Target="https://drive.google.com/open?id=1uDGlC0pyg0T4S-6rz-HgJQ40mKSWtEjK" TargetMode="External"/><Relationship Id="rId27" Type="http://schemas.openxmlformats.org/officeDocument/2006/relationships/hyperlink" Target="https://drive.google.com/open?id=1A7B1dYleBSCMfPA3cTgUWP5Fzep9yaLk" TargetMode="External"/><Relationship Id="rId29" Type="http://schemas.openxmlformats.org/officeDocument/2006/relationships/hyperlink" Target="https://drive.google.com/open?id=1qc5ra7ox8LEFptHLm1N9iCS6AQhsd1qP" TargetMode="External"/><Relationship Id="rId11" Type="http://schemas.openxmlformats.org/officeDocument/2006/relationships/hyperlink" Target="https://drive.google.com/open?id=1LS1-I4R1UH1MHvBEjTgGIVN4s3i8Uhjj" TargetMode="External"/><Relationship Id="rId10" Type="http://schemas.openxmlformats.org/officeDocument/2006/relationships/hyperlink" Target="https://drive.google.com/open?id=1LeAQrop7RRJjak0xUJ08_PgCvzJyjR1x" TargetMode="External"/><Relationship Id="rId13" Type="http://schemas.openxmlformats.org/officeDocument/2006/relationships/hyperlink" Target="https://drive.google.com/open?id=1zCfZ5tWTwl-Ba9C3Qogho7uSEX__GWUJ" TargetMode="External"/><Relationship Id="rId12" Type="http://schemas.openxmlformats.org/officeDocument/2006/relationships/hyperlink" Target="https://drive.google.com/open?id=1kkr9egPFZQtnvsSH_bE3wXjDRrOyQcx6" TargetMode="External"/><Relationship Id="rId15" Type="http://schemas.openxmlformats.org/officeDocument/2006/relationships/hyperlink" Target="https://drive.google.com/open?id=16DkCLb3DUrvSIVdY07tHfcLA2aMS4Qhy" TargetMode="External"/><Relationship Id="rId198" Type="http://schemas.openxmlformats.org/officeDocument/2006/relationships/hyperlink" Target="https://drive.google.com/open?id=1zALkS5IOf6yhaMDWi--7-jqYoYNQtRp9" TargetMode="External"/><Relationship Id="rId14" Type="http://schemas.openxmlformats.org/officeDocument/2006/relationships/hyperlink" Target="https://drive.google.com/open?id=1lxpgIVy1-cNmdSc8Fmyup5Cvb-oo08fC" TargetMode="External"/><Relationship Id="rId197" Type="http://schemas.openxmlformats.org/officeDocument/2006/relationships/hyperlink" Target="https://drive.google.com/open?id=1GHvEXeDAvpNVJ6GFDLHyVWRS__7-_-T3" TargetMode="External"/><Relationship Id="rId17" Type="http://schemas.openxmlformats.org/officeDocument/2006/relationships/hyperlink" Target="https://drive.google.com/open?id=1jqke2SZPC3EjSy8XpxbqN16yvyqoZH-w" TargetMode="External"/><Relationship Id="rId196" Type="http://schemas.openxmlformats.org/officeDocument/2006/relationships/hyperlink" Target="https://drive.google.com/open?id=1fGtbx_fHD1WhrbkLuh3VlecugAe6qkp2" TargetMode="External"/><Relationship Id="rId16" Type="http://schemas.openxmlformats.org/officeDocument/2006/relationships/hyperlink" Target="https://drive.google.com/open?id=16_gM0IFxwNpdsAmtVpuSjSuRRhvMkjTW" TargetMode="External"/><Relationship Id="rId195" Type="http://schemas.openxmlformats.org/officeDocument/2006/relationships/hyperlink" Target="https://drive.google.com/open?id=1VFYGpmxBMGrj_n8wb3igHc9JvaSsZZfd" TargetMode="External"/><Relationship Id="rId19" Type="http://schemas.openxmlformats.org/officeDocument/2006/relationships/hyperlink" Target="https://drive.google.com/open?id=1hceMPAMluIBUn7bLujyCZVgJMaVCqMvr" TargetMode="External"/><Relationship Id="rId18" Type="http://schemas.openxmlformats.org/officeDocument/2006/relationships/hyperlink" Target="https://drive.google.com/open?id=1VdHpXS4-ulffd42hLw-hdRSx0nSabxfq" TargetMode="External"/><Relationship Id="rId199" Type="http://schemas.openxmlformats.org/officeDocument/2006/relationships/hyperlink" Target="https://drive.google.com/open?id=1hsnO6BYq2GEKkSa79lO2IV5xeWsUX27q" TargetMode="External"/><Relationship Id="rId84" Type="http://schemas.openxmlformats.org/officeDocument/2006/relationships/hyperlink" Target="https://drive.google.com/open?id=1xbHHfCC2bnineuyqh8AlbOE8PGqc6XJu" TargetMode="External"/><Relationship Id="rId83" Type="http://schemas.openxmlformats.org/officeDocument/2006/relationships/hyperlink" Target="https://drive.google.com/open?id=18CKGPt8cJTsxjbH4BuhW7bOUQSHLrPDa" TargetMode="External"/><Relationship Id="rId86" Type="http://schemas.openxmlformats.org/officeDocument/2006/relationships/hyperlink" Target="https://drive.google.com/open?id=1wQu1dtx5J8CqrA3BXUvgSTWTExL37uZU" TargetMode="External"/><Relationship Id="rId85" Type="http://schemas.openxmlformats.org/officeDocument/2006/relationships/hyperlink" Target="https://drive.google.com/open?id=1Iw1iC4uMaPehIwmIwiJcQiy1zyFJ57Wc" TargetMode="External"/><Relationship Id="rId88" Type="http://schemas.openxmlformats.org/officeDocument/2006/relationships/hyperlink" Target="https://drive.google.com/open?id=1eQ-tGjxOJQtIblgfDI-pSTuFhedZ7LiE" TargetMode="External"/><Relationship Id="rId150" Type="http://schemas.openxmlformats.org/officeDocument/2006/relationships/hyperlink" Target="https://drive.google.com/open?id=1vOJtCLL_GYPEZwTDQ9855rK9p4RBabyd" TargetMode="External"/><Relationship Id="rId87" Type="http://schemas.openxmlformats.org/officeDocument/2006/relationships/hyperlink" Target="https://drive.google.com/open?id=1u-OFGFjMOMiJdBKezWsO-In92mxRb98_" TargetMode="External"/><Relationship Id="rId89" Type="http://schemas.openxmlformats.org/officeDocument/2006/relationships/hyperlink" Target="https://drive.google.com/open?id=1Qbf2pHLgKui41tj-XVQOGFQWg7rcQOL9" TargetMode="External"/><Relationship Id="rId80" Type="http://schemas.openxmlformats.org/officeDocument/2006/relationships/hyperlink" Target="https://drive.google.com/open?id=1XBbSQB0CeZRTY8vkHuY8sf7UprYMC8xm" TargetMode="External"/><Relationship Id="rId82" Type="http://schemas.openxmlformats.org/officeDocument/2006/relationships/hyperlink" Target="https://drive.google.com/open?id=1_6_vSJZgDpx5g2ya_4Hj4_lMW1pZ7xhn" TargetMode="External"/><Relationship Id="rId81" Type="http://schemas.openxmlformats.org/officeDocument/2006/relationships/hyperlink" Target="https://drive.google.com/open?id=1paPVf0Of3LLTrIaU9mssSfkPm2fQe8d4" TargetMode="External"/><Relationship Id="rId1" Type="http://schemas.openxmlformats.org/officeDocument/2006/relationships/hyperlink" Target="https://drive.google.com/open?id=1SZKGM6CWIkc9qdEQm7sj9DfHnEK-iIMc" TargetMode="External"/><Relationship Id="rId2" Type="http://schemas.openxmlformats.org/officeDocument/2006/relationships/hyperlink" Target="https://drive.google.com/open?id=1PWtfJvtKL-k_pzLMZcLZZGzD0UffH5T7" TargetMode="External"/><Relationship Id="rId3" Type="http://schemas.openxmlformats.org/officeDocument/2006/relationships/hyperlink" Target="https://drive.google.com/open?id=1y13qwS_vLsLAhx7glKGfqyFJIZvyJ45R" TargetMode="External"/><Relationship Id="rId149" Type="http://schemas.openxmlformats.org/officeDocument/2006/relationships/hyperlink" Target="https://drive.google.com/open?id=1W08rs4RGr_wXWF3SjKD-iYIM4b-LXW9A" TargetMode="External"/><Relationship Id="rId4" Type="http://schemas.openxmlformats.org/officeDocument/2006/relationships/hyperlink" Target="https://drive.google.com/open?id=1eD3KizDV3IbtT0vNRhIih9rPILzQ5Xgh" TargetMode="External"/><Relationship Id="rId148" Type="http://schemas.openxmlformats.org/officeDocument/2006/relationships/hyperlink" Target="https://drive.google.com/open?id=1HV83sVfX3F90sqiI7BeVpYOeoISnKNIu" TargetMode="External"/><Relationship Id="rId9" Type="http://schemas.openxmlformats.org/officeDocument/2006/relationships/hyperlink" Target="https://drive.google.com/open?id=16nqtnRSgV1es98PDXONwb1nqE9oRQ4-p" TargetMode="External"/><Relationship Id="rId143" Type="http://schemas.openxmlformats.org/officeDocument/2006/relationships/hyperlink" Target="https://drive.google.com/open?id=12dOeS0xR06DmZsaE5sEP5K_jmNOVZmYT" TargetMode="External"/><Relationship Id="rId142" Type="http://schemas.openxmlformats.org/officeDocument/2006/relationships/hyperlink" Target="https://drive.google.com/open?id=1wK5hAP36K3AfD5cHKLkGGByr3y_56htu" TargetMode="External"/><Relationship Id="rId141" Type="http://schemas.openxmlformats.org/officeDocument/2006/relationships/hyperlink" Target="https://drive.google.com/open?id=1NUIpYym-KGsIJWGh0O-SiounnbJ84wi1" TargetMode="External"/><Relationship Id="rId140" Type="http://schemas.openxmlformats.org/officeDocument/2006/relationships/hyperlink" Target="https://drive.google.com/open?id=1G7G9nCqk6vmhayCjoXq9_Sr_Sh7gqvn-" TargetMode="External"/><Relationship Id="rId5" Type="http://schemas.openxmlformats.org/officeDocument/2006/relationships/hyperlink" Target="https://drive.google.com/open?id=1zSanQXy103LOGLmL8pz2ezpYgxNUBUNK" TargetMode="External"/><Relationship Id="rId147" Type="http://schemas.openxmlformats.org/officeDocument/2006/relationships/hyperlink" Target="https://drive.google.com/open?id=15d49uUFKAyD3IEbjQU3gFIIs1C1O9rt8" TargetMode="External"/><Relationship Id="rId6" Type="http://schemas.openxmlformats.org/officeDocument/2006/relationships/hyperlink" Target="https://drive.google.com/open?id=1TpYCBT4MF483Ze6A5gtgX-ND9jqbyfaq" TargetMode="External"/><Relationship Id="rId146" Type="http://schemas.openxmlformats.org/officeDocument/2006/relationships/hyperlink" Target="https://drive.google.com/open?id=10FbSIxDL1J1dSVzpGaeddA-Q2gL8Ad08" TargetMode="External"/><Relationship Id="rId7" Type="http://schemas.openxmlformats.org/officeDocument/2006/relationships/hyperlink" Target="https://drive.google.com/open?id=1USP3qrEhrU6vw7qO8tg-L07j_woiBWxE" TargetMode="External"/><Relationship Id="rId145" Type="http://schemas.openxmlformats.org/officeDocument/2006/relationships/hyperlink" Target="https://drive.google.com/open?id=17YlpwSve2lv3x_yhln5nOt9aBouAfbVu" TargetMode="External"/><Relationship Id="rId8" Type="http://schemas.openxmlformats.org/officeDocument/2006/relationships/hyperlink" Target="https://drive.google.com/open?id=1CX70hAtrCklEJHo7d7if6_djRDwhyKuY" TargetMode="External"/><Relationship Id="rId144" Type="http://schemas.openxmlformats.org/officeDocument/2006/relationships/hyperlink" Target="https://drive.google.com/open?id=1azlxj5ZPQkiYoSR7VpDtCFtz2DM6X8FW" TargetMode="External"/><Relationship Id="rId73" Type="http://schemas.openxmlformats.org/officeDocument/2006/relationships/hyperlink" Target="https://drive.google.com/open?id=1eZAWary1kG3ozWj6G_t6egN_rogujELL" TargetMode="External"/><Relationship Id="rId72" Type="http://schemas.openxmlformats.org/officeDocument/2006/relationships/hyperlink" Target="https://drive.google.com/open?id=1_9Zq2GtcfdYgDUPfd92-SrrnqTMcMn5v" TargetMode="External"/><Relationship Id="rId75" Type="http://schemas.openxmlformats.org/officeDocument/2006/relationships/hyperlink" Target="https://drive.google.com/open?id=1OYbMtQC_mY5wf-qw4lB5LoxhIg7w9Zvu" TargetMode="External"/><Relationship Id="rId74" Type="http://schemas.openxmlformats.org/officeDocument/2006/relationships/hyperlink" Target="https://drive.google.com/open?id=1SoXBO2U9X1b53GhQFb9sKbOOeguWWVVg" TargetMode="External"/><Relationship Id="rId77" Type="http://schemas.openxmlformats.org/officeDocument/2006/relationships/hyperlink" Target="https://drive.google.com/open?id=1zYybTyh4N6_NUZFAk7Lxig3g_tXEB0fO" TargetMode="External"/><Relationship Id="rId76" Type="http://schemas.openxmlformats.org/officeDocument/2006/relationships/hyperlink" Target="https://drive.google.com/open?id=1VRxZ2FtGKoaqxSc_hrIiv4HR4QUH2naO" TargetMode="External"/><Relationship Id="rId79" Type="http://schemas.openxmlformats.org/officeDocument/2006/relationships/hyperlink" Target="https://drive.google.com/open?id=1GclMB7q90zAlkiFYDqSypwuuito7vKEl" TargetMode="External"/><Relationship Id="rId78" Type="http://schemas.openxmlformats.org/officeDocument/2006/relationships/hyperlink" Target="https://drive.google.com/open?id=1ZPJI6UF4Yp07fOYVznVExcfmbsNUWPQw" TargetMode="External"/><Relationship Id="rId71" Type="http://schemas.openxmlformats.org/officeDocument/2006/relationships/hyperlink" Target="https://drive.google.com/open?id=1PUmmRrsx_e1VBjceNmAy-D70iStNG__g" TargetMode="External"/><Relationship Id="rId70" Type="http://schemas.openxmlformats.org/officeDocument/2006/relationships/hyperlink" Target="https://drive.google.com/open?id=1TG1O8oRzJcubR4Gk68xyUqaxj11GByvG" TargetMode="External"/><Relationship Id="rId139" Type="http://schemas.openxmlformats.org/officeDocument/2006/relationships/hyperlink" Target="https://drive.google.com/open?id=10PUhSQrXFPYPqiLqHUo5Hm6GIQWn-svB" TargetMode="External"/><Relationship Id="rId138" Type="http://schemas.openxmlformats.org/officeDocument/2006/relationships/hyperlink" Target="https://drive.google.com/open?id=1xf17XnwpIuFXkxfG49kUFRypYlinCZcX" TargetMode="External"/><Relationship Id="rId137" Type="http://schemas.openxmlformats.org/officeDocument/2006/relationships/hyperlink" Target="https://drive.google.com/open?id=1cs6mxTK9duBPviMJEUu31LcgCzurdBnt" TargetMode="External"/><Relationship Id="rId132" Type="http://schemas.openxmlformats.org/officeDocument/2006/relationships/hyperlink" Target="https://drive.google.com/open?id=17ZfWosM7Je2y8cvcweX8zPChBeH7fCeZ" TargetMode="External"/><Relationship Id="rId131" Type="http://schemas.openxmlformats.org/officeDocument/2006/relationships/hyperlink" Target="https://drive.google.com/open?id=1qS_aeRO4-qGfBr836Nyk12ODZTqv2I8G" TargetMode="External"/><Relationship Id="rId130" Type="http://schemas.openxmlformats.org/officeDocument/2006/relationships/hyperlink" Target="https://drive.google.com/open?id=1aWj1F-2CcbaCNiAMMlvp8B3ChQKFi8Ai" TargetMode="External"/><Relationship Id="rId136" Type="http://schemas.openxmlformats.org/officeDocument/2006/relationships/hyperlink" Target="https://drive.google.com/open?id=1f6NYuJRGQrBWzdhnaZIVl0J1cL9bpnNV" TargetMode="External"/><Relationship Id="rId135" Type="http://schemas.openxmlformats.org/officeDocument/2006/relationships/hyperlink" Target="https://drive.google.com/open?id=1jCOQMnqZJzK86v8R5DxaBXMQLLmaEDuM" TargetMode="External"/><Relationship Id="rId134" Type="http://schemas.openxmlformats.org/officeDocument/2006/relationships/hyperlink" Target="https://drive.google.com/open?id=1ljIViV0pZUP35v7Yog5JdB6_8MewSUfc" TargetMode="External"/><Relationship Id="rId133" Type="http://schemas.openxmlformats.org/officeDocument/2006/relationships/hyperlink" Target="https://drive.google.com/open?id=11Sl3UuA7d09ZuF9CaYCIXoyicNBvvVw2" TargetMode="External"/><Relationship Id="rId62" Type="http://schemas.openxmlformats.org/officeDocument/2006/relationships/hyperlink" Target="https://drive.google.com/open?id=1gxHFfysQ7RgPcVzWjji71d8UBgY_8viv" TargetMode="External"/><Relationship Id="rId61" Type="http://schemas.openxmlformats.org/officeDocument/2006/relationships/hyperlink" Target="https://drive.google.com/open?id=1SnvyCsELTSYbuuPGO8O4g-eTsxblt2rV" TargetMode="External"/><Relationship Id="rId64" Type="http://schemas.openxmlformats.org/officeDocument/2006/relationships/hyperlink" Target="https://drive.google.com/open?id=1vTkj57yaD7UCrnBZDx3W7tpmHu7jczLM" TargetMode="External"/><Relationship Id="rId63" Type="http://schemas.openxmlformats.org/officeDocument/2006/relationships/hyperlink" Target="https://drive.google.com/open?id=1mOECExzkD-B4TUJ8TlhBB-0A52RA-wu6" TargetMode="External"/><Relationship Id="rId66" Type="http://schemas.openxmlformats.org/officeDocument/2006/relationships/hyperlink" Target="https://drive.google.com/open?id=1GQf89GUJqJO8_nwY2z8SeLJ99apcfvs3" TargetMode="External"/><Relationship Id="rId172" Type="http://schemas.openxmlformats.org/officeDocument/2006/relationships/hyperlink" Target="https://drive.google.com/open?id=1pl8nyGahY2-T_39Ic7GxBBoVNT8L-z_F" TargetMode="External"/><Relationship Id="rId65" Type="http://schemas.openxmlformats.org/officeDocument/2006/relationships/hyperlink" Target="https://drive.google.com/open?id=1_alXjbmKHlH2EMKbi8tMOwbU5QKRnThe" TargetMode="External"/><Relationship Id="rId171" Type="http://schemas.openxmlformats.org/officeDocument/2006/relationships/hyperlink" Target="https://drive.google.com/open?id=1s6XxWqKNbRH_F0963cqGqTimjkbYjbt3" TargetMode="External"/><Relationship Id="rId68" Type="http://schemas.openxmlformats.org/officeDocument/2006/relationships/hyperlink" Target="https://drive.google.com/open?id=12jfPiFgC_U-Pzhwt-4udHMUzsv18bQ3P" TargetMode="External"/><Relationship Id="rId170" Type="http://schemas.openxmlformats.org/officeDocument/2006/relationships/hyperlink" Target="https://drive.google.com/open?id=1ZKy6ZPUI_MoFmauSxxKcSqvoA1AQ25Yb" TargetMode="External"/><Relationship Id="rId67" Type="http://schemas.openxmlformats.org/officeDocument/2006/relationships/hyperlink" Target="https://drive.google.com/open?id=1SLIqwgqTNAfAI4xui-eIxtQ9a1FMS4Il" TargetMode="External"/><Relationship Id="rId60" Type="http://schemas.openxmlformats.org/officeDocument/2006/relationships/hyperlink" Target="https://drive.google.com/open?id=1bkj_OG9qH-VgEsuz-V5K_VySymFgyev4" TargetMode="External"/><Relationship Id="rId165" Type="http://schemas.openxmlformats.org/officeDocument/2006/relationships/hyperlink" Target="https://drive.google.com/open?id=1SyRxlsvQPfKj_yEwgLXVZdM0gUdz8eT8" TargetMode="External"/><Relationship Id="rId69" Type="http://schemas.openxmlformats.org/officeDocument/2006/relationships/hyperlink" Target="https://drive.google.com/open?id=1T0D4AZ5Yr5nDa5sapYYhdrs0N8tfwJ9U" TargetMode="External"/><Relationship Id="rId164" Type="http://schemas.openxmlformats.org/officeDocument/2006/relationships/hyperlink" Target="https://drive.google.com/open?id=1WbymGzZO8fxrFID41XtTUR3UOK4sxrwh" TargetMode="External"/><Relationship Id="rId163" Type="http://schemas.openxmlformats.org/officeDocument/2006/relationships/hyperlink" Target="https://drive.google.com/open?id=1_8A_Dl1nL8ahh0J24SlSpmxA3JRi7wNH" TargetMode="External"/><Relationship Id="rId162" Type="http://schemas.openxmlformats.org/officeDocument/2006/relationships/hyperlink" Target="https://drive.google.com/open?id=1jo_X3b74sxrGD2y5s7zhgYKAjaMPLdWD" TargetMode="External"/><Relationship Id="rId169" Type="http://schemas.openxmlformats.org/officeDocument/2006/relationships/hyperlink" Target="https://drive.google.com/open?id=18DM3NwLLly6SQVeSJEQFqp2iqs8tBrwJ" TargetMode="External"/><Relationship Id="rId168" Type="http://schemas.openxmlformats.org/officeDocument/2006/relationships/hyperlink" Target="https://drive.google.com/open?id=1Lb2Fk7eOqYYPV31thEFx2pOaVKkYV_lv" TargetMode="External"/><Relationship Id="rId167" Type="http://schemas.openxmlformats.org/officeDocument/2006/relationships/hyperlink" Target="https://drive.google.com/open?id=1_0Y6B4WL6LDte2THsh6t4_q2p-Gp14Yj" TargetMode="External"/><Relationship Id="rId166" Type="http://schemas.openxmlformats.org/officeDocument/2006/relationships/hyperlink" Target="https://drive.google.com/open?id=1I-yu-t_bSXUKQBGCDLFVHxBmn7sQm4Dn" TargetMode="External"/><Relationship Id="rId51" Type="http://schemas.openxmlformats.org/officeDocument/2006/relationships/hyperlink" Target="https://drive.google.com/open?id=1ABZ6JnYBpClgezY7Y93xlsxpzC3pd7e8" TargetMode="External"/><Relationship Id="rId50" Type="http://schemas.openxmlformats.org/officeDocument/2006/relationships/hyperlink" Target="https://drive.google.com/open?id=1qe0C-AYBXCiQsx5x41RVwM5j8lJVEFQa" TargetMode="External"/><Relationship Id="rId53" Type="http://schemas.openxmlformats.org/officeDocument/2006/relationships/hyperlink" Target="https://drive.google.com/open?id=1Hvki397kdReikGuoGHwrNtg6iEGO219x" TargetMode="External"/><Relationship Id="rId52" Type="http://schemas.openxmlformats.org/officeDocument/2006/relationships/hyperlink" Target="https://drive.google.com/open?id=1VkPbnpTo4TezPXThNWXWB9Yyo2TJIGn8" TargetMode="External"/><Relationship Id="rId55" Type="http://schemas.openxmlformats.org/officeDocument/2006/relationships/hyperlink" Target="https://drive.google.com/open?id=1p9kdtW2u41AcEAY1p5g29UiYOV05xB2P" TargetMode="External"/><Relationship Id="rId161" Type="http://schemas.openxmlformats.org/officeDocument/2006/relationships/hyperlink" Target="https://drive.google.com/open?id=1fkpa2no6ZU6G-m1oucL7AH-thgJa0cOX" TargetMode="External"/><Relationship Id="rId54" Type="http://schemas.openxmlformats.org/officeDocument/2006/relationships/hyperlink" Target="https://drive.google.com/open?id=1mXb5Xnjrjo1MRVEkcHca6B7KhwAxT6cj" TargetMode="External"/><Relationship Id="rId160" Type="http://schemas.openxmlformats.org/officeDocument/2006/relationships/hyperlink" Target="https://drive.google.com/open?id=1yRmzniA7exGRSkFK1CM8nEYbm2YWxPUF" TargetMode="External"/><Relationship Id="rId57" Type="http://schemas.openxmlformats.org/officeDocument/2006/relationships/hyperlink" Target="https://drive.google.com/open?id=1N9RI5PJ89_T3tJXpu-qfd-NKJnFiIjJe" TargetMode="External"/><Relationship Id="rId56" Type="http://schemas.openxmlformats.org/officeDocument/2006/relationships/hyperlink" Target="https://drive.google.com/open?id=1fsOkNlTIYXUavLDrMDT1P2sunDpxD38M" TargetMode="External"/><Relationship Id="rId159" Type="http://schemas.openxmlformats.org/officeDocument/2006/relationships/hyperlink" Target="https://drive.google.com/open?id=1t1JgrpUFnspdSenWycXkn6beDVLAXc6P" TargetMode="External"/><Relationship Id="rId59" Type="http://schemas.openxmlformats.org/officeDocument/2006/relationships/hyperlink" Target="https://drive.google.com/open?id=1q7QFeXkJkvUt41U1pJMJKaqtzfqyLh3w" TargetMode="External"/><Relationship Id="rId154" Type="http://schemas.openxmlformats.org/officeDocument/2006/relationships/hyperlink" Target="https://drive.google.com/open?id=18eAm8aGL_4XkASNeUnm1iJBhyr1gtzu-" TargetMode="External"/><Relationship Id="rId58" Type="http://schemas.openxmlformats.org/officeDocument/2006/relationships/hyperlink" Target="https://drive.google.com/open?id=1nSDYS6Ftd1evpDpwR1lBxpotUv5JSlBR" TargetMode="External"/><Relationship Id="rId153" Type="http://schemas.openxmlformats.org/officeDocument/2006/relationships/hyperlink" Target="https://drive.google.com/open?id=1jW0hijRWT9EOdTteTDA68mIcN3BQ5nqx" TargetMode="External"/><Relationship Id="rId152" Type="http://schemas.openxmlformats.org/officeDocument/2006/relationships/hyperlink" Target="https://drive.google.com/open?id=1cJmGSXXr81crJI_8knj9qN4fsxg2XNvR" TargetMode="External"/><Relationship Id="rId151" Type="http://schemas.openxmlformats.org/officeDocument/2006/relationships/hyperlink" Target="https://drive.google.com/open?id=1vsI3h2yjDHM9XkI0r0SdW2xQoYQ5cRS8" TargetMode="External"/><Relationship Id="rId158" Type="http://schemas.openxmlformats.org/officeDocument/2006/relationships/hyperlink" Target="https://drive.google.com/open?id=1L-6PgmS2vHwzov4S-4omMAohohoyofE8" TargetMode="External"/><Relationship Id="rId157" Type="http://schemas.openxmlformats.org/officeDocument/2006/relationships/hyperlink" Target="https://drive.google.com/open?id=1NH3YXRyuZoVOrnWvkr2dtuIxDvNGi22-" TargetMode="External"/><Relationship Id="rId156" Type="http://schemas.openxmlformats.org/officeDocument/2006/relationships/hyperlink" Target="https://drive.google.com/open?id=1FePcR_AkR8lDlLxVUDhWRYwZcUXJrz7E" TargetMode="External"/><Relationship Id="rId155" Type="http://schemas.openxmlformats.org/officeDocument/2006/relationships/hyperlink" Target="https://drive.google.com/open?id=1g5ea4VrJ2XQqoy-zR6IJUyO8j07SR8H0" TargetMode="External"/><Relationship Id="rId107" Type="http://schemas.openxmlformats.org/officeDocument/2006/relationships/hyperlink" Target="https://drive.google.com/open?id=1fzATmm0Odf-arsJlfhnr0DdL9OzFyMih" TargetMode="External"/><Relationship Id="rId106" Type="http://schemas.openxmlformats.org/officeDocument/2006/relationships/hyperlink" Target="https://drive.google.com/open?id=19_xkeVWGFBhwOFR3SEqaCHQGC2ZQm6sZ" TargetMode="External"/><Relationship Id="rId105" Type="http://schemas.openxmlformats.org/officeDocument/2006/relationships/hyperlink" Target="https://drive.google.com/open?id=17Lr1_QZs0NB-81C1eE3FsoBlVLBS9PWC" TargetMode="External"/><Relationship Id="rId104" Type="http://schemas.openxmlformats.org/officeDocument/2006/relationships/hyperlink" Target="https://drive.google.com/open?id=169S7ovEz-cQjMB0S16BnqJ0j_A-A3N1u" TargetMode="External"/><Relationship Id="rId109" Type="http://schemas.openxmlformats.org/officeDocument/2006/relationships/hyperlink" Target="https://drive.google.com/open?id=1MJRNJgbECLQWBcpX69u2AHa55-Bby229" TargetMode="External"/><Relationship Id="rId108" Type="http://schemas.openxmlformats.org/officeDocument/2006/relationships/hyperlink" Target="https://drive.google.com/open?id=1J20r55yz9NPXxXEIakOEk5qkAkV0Mr4K" TargetMode="External"/><Relationship Id="rId103" Type="http://schemas.openxmlformats.org/officeDocument/2006/relationships/hyperlink" Target="https://drive.google.com/open?id=1iRJJlUpYIKp4_kr8EBf9g_TSJKUfRag4" TargetMode="External"/><Relationship Id="rId102" Type="http://schemas.openxmlformats.org/officeDocument/2006/relationships/hyperlink" Target="https://drive.google.com/open?id=12w_Kmv6tKYGK2whSGcmMEl4rbcQYtvRu" TargetMode="External"/><Relationship Id="rId101" Type="http://schemas.openxmlformats.org/officeDocument/2006/relationships/hyperlink" Target="https://drive.google.com/open?id=12jBA6_BfNhjjXOpB2YCdm1Z7Vjs6g78D" TargetMode="External"/><Relationship Id="rId100" Type="http://schemas.openxmlformats.org/officeDocument/2006/relationships/hyperlink" Target="https://drive.google.com/open?id=1U7c3g4Ufyttyfm5wkms2WXEDtyTonRSP" TargetMode="External"/><Relationship Id="rId217" Type="http://schemas.openxmlformats.org/officeDocument/2006/relationships/drawing" Target="../drawings/drawing1.xml"/><Relationship Id="rId216" Type="http://schemas.openxmlformats.org/officeDocument/2006/relationships/hyperlink" Target="https://drive.google.com/open?id=1HLatPvH_3XZlrJUK8dVkWAfPdaKYmwdf" TargetMode="External"/><Relationship Id="rId215" Type="http://schemas.openxmlformats.org/officeDocument/2006/relationships/hyperlink" Target="https://drive.google.com/open?id=1uA6TT-w-FsKYFOUeK-7DyQjI_BuOhzOE" TargetMode="External"/><Relationship Id="rId214" Type="http://schemas.openxmlformats.org/officeDocument/2006/relationships/hyperlink" Target="https://drive.google.com/open?id=1eczchkCnxDCNi-J4EMeUBqQBHM6QVGgA" TargetMode="External"/><Relationship Id="rId219" Type="http://schemas.openxmlformats.org/officeDocument/2006/relationships/table" Target="../tables/table1.xml"/><Relationship Id="rId213" Type="http://schemas.openxmlformats.org/officeDocument/2006/relationships/hyperlink" Target="https://drive.google.com/open?id=1VidLYlBceMInBvPJRHodPsZtSm9XbtB0" TargetMode="External"/><Relationship Id="rId212" Type="http://schemas.openxmlformats.org/officeDocument/2006/relationships/hyperlink" Target="https://drive.google.com/open?id=1uU2xH0Hs5r0RRNo36Y8NJcRhRJ435diT" TargetMode="External"/><Relationship Id="rId211" Type="http://schemas.openxmlformats.org/officeDocument/2006/relationships/hyperlink" Target="https://drive.google.com/open?id=1pxkbMGbd2U2m8QHgY55X0OyZSKXIZyw4" TargetMode="External"/><Relationship Id="rId210" Type="http://schemas.openxmlformats.org/officeDocument/2006/relationships/hyperlink" Target="https://drive.google.com/open?id=1YFkvln2DVbZphhyc4xPCCMqKHnfRd48p" TargetMode="External"/><Relationship Id="rId129" Type="http://schemas.openxmlformats.org/officeDocument/2006/relationships/hyperlink" Target="https://drive.google.com/open?id=1_Yjw4BEL-Jv4fySfrXqTO5O8xrxsttdb" TargetMode="External"/><Relationship Id="rId128" Type="http://schemas.openxmlformats.org/officeDocument/2006/relationships/hyperlink" Target="https://drive.google.com/open?id=19UcdUZrlWpWMp-bG-C0X737nHZ0mewTv" TargetMode="External"/><Relationship Id="rId127" Type="http://schemas.openxmlformats.org/officeDocument/2006/relationships/hyperlink" Target="https://drive.google.com/open?id=1HLM8i2a2Ta3S9I-kr8qp5tXdvxI6kUHO" TargetMode="External"/><Relationship Id="rId126" Type="http://schemas.openxmlformats.org/officeDocument/2006/relationships/hyperlink" Target="https://drive.google.com/open?id=1Ot0l2stIEBF2ICLDYySGLb5SPkV8aZ7g" TargetMode="External"/><Relationship Id="rId121" Type="http://schemas.openxmlformats.org/officeDocument/2006/relationships/hyperlink" Target="https://drive.google.com/open?id=1GI1iMkzyWPbQGfxGX2JosCvg_Kg_O72G" TargetMode="External"/><Relationship Id="rId120" Type="http://schemas.openxmlformats.org/officeDocument/2006/relationships/hyperlink" Target="https://drive.google.com/open?id=1Fq1mWJUPng06onTyrUafC8eEJqTlJnXv" TargetMode="External"/><Relationship Id="rId125" Type="http://schemas.openxmlformats.org/officeDocument/2006/relationships/hyperlink" Target="https://drive.google.com/open?id=15BWC6uQxty9PQRZRY7yLUZs1zmA2b66T" TargetMode="External"/><Relationship Id="rId124" Type="http://schemas.openxmlformats.org/officeDocument/2006/relationships/hyperlink" Target="https://drive.google.com/open?id=1WYeQEWcKI5cEsTl_ebHNrv6uqbJHrJdb" TargetMode="External"/><Relationship Id="rId123" Type="http://schemas.openxmlformats.org/officeDocument/2006/relationships/hyperlink" Target="https://drive.google.com/open?id=17kH244z08CC4J6xrxvw34VDD9Eclm2sp" TargetMode="External"/><Relationship Id="rId122" Type="http://schemas.openxmlformats.org/officeDocument/2006/relationships/hyperlink" Target="https://drive.google.com/open?id=1ZUfdK8YmHd3NguvdhjA9SVf9jQSRjufE" TargetMode="External"/><Relationship Id="rId95" Type="http://schemas.openxmlformats.org/officeDocument/2006/relationships/hyperlink" Target="https://drive.google.com/open?id=1--WvkkW5jJj3XheCt1xTDgeaAZVIgTNr" TargetMode="External"/><Relationship Id="rId94" Type="http://schemas.openxmlformats.org/officeDocument/2006/relationships/hyperlink" Target="https://drive.google.com/open?id=1n90t7iMSbKHQpB3FjTs4Q-qK1rcCE3F7" TargetMode="External"/><Relationship Id="rId97" Type="http://schemas.openxmlformats.org/officeDocument/2006/relationships/hyperlink" Target="https://drive.google.com/open?id=1X80RedLaqCKOWJ-CHmVIDrqydmOt_clN" TargetMode="External"/><Relationship Id="rId96" Type="http://schemas.openxmlformats.org/officeDocument/2006/relationships/hyperlink" Target="https://drive.google.com/open?id=1DhzRxAbhhQDczcUe0wUBF7NeqMzV4Lsh" TargetMode="External"/><Relationship Id="rId99" Type="http://schemas.openxmlformats.org/officeDocument/2006/relationships/hyperlink" Target="https://drive.google.com/open?id=1iAte7Bxrfcgb0HWc4ssd7zxh1wH5D957" TargetMode="External"/><Relationship Id="rId98" Type="http://schemas.openxmlformats.org/officeDocument/2006/relationships/hyperlink" Target="https://drive.google.com/open?id=1Iy6Q3unoowEWZdxDvVtosAav8S4PpT43" TargetMode="External"/><Relationship Id="rId91" Type="http://schemas.openxmlformats.org/officeDocument/2006/relationships/hyperlink" Target="https://drive.google.com/open?id=1P67C5LgPeHpLEJ5R672BfRi7P0jbTpNj" TargetMode="External"/><Relationship Id="rId90" Type="http://schemas.openxmlformats.org/officeDocument/2006/relationships/hyperlink" Target="https://drive.google.com/open?id=1KoZeqk3TDJjMdMjWJjTUVM0JRV2BNLvs" TargetMode="External"/><Relationship Id="rId93" Type="http://schemas.openxmlformats.org/officeDocument/2006/relationships/hyperlink" Target="https://drive.google.com/open?id=1HE-ID9b03X-pMbIZrCYutpXwWrT3pwuw" TargetMode="External"/><Relationship Id="rId92" Type="http://schemas.openxmlformats.org/officeDocument/2006/relationships/hyperlink" Target="https://drive.google.com/open?id=1KZkD15UPKqofprzaMCfI9qwBz1Tk6P6I" TargetMode="External"/><Relationship Id="rId118" Type="http://schemas.openxmlformats.org/officeDocument/2006/relationships/hyperlink" Target="https://drive.google.com/open?id=1rEchTFN3s8wF_LfCiUdOX--kjqJaRUVx" TargetMode="External"/><Relationship Id="rId117" Type="http://schemas.openxmlformats.org/officeDocument/2006/relationships/hyperlink" Target="https://drive.google.com/open?id=1RFJ2P5Y3p_mLYYgcrzu0Vp4RhVpKG1Ow" TargetMode="External"/><Relationship Id="rId116" Type="http://schemas.openxmlformats.org/officeDocument/2006/relationships/hyperlink" Target="https://drive.google.com/open?id=1cT70Z85A5gEu_jqhxyx2thEY3L81oLmc" TargetMode="External"/><Relationship Id="rId115" Type="http://schemas.openxmlformats.org/officeDocument/2006/relationships/hyperlink" Target="https://drive.google.com/open?id=1NLCY1QJ3vHZScPWPfw3-pnkZqTstJ1uA" TargetMode="External"/><Relationship Id="rId119" Type="http://schemas.openxmlformats.org/officeDocument/2006/relationships/hyperlink" Target="https://drive.google.com/open?id=1hZErtHfBhU_IpmWMRXIKx_1oGe2jfF9x" TargetMode="External"/><Relationship Id="rId110" Type="http://schemas.openxmlformats.org/officeDocument/2006/relationships/hyperlink" Target="https://drive.google.com/open?id=1YNzK-a9i92NyaXLJvvVyTQHonM0rqOrC" TargetMode="External"/><Relationship Id="rId114" Type="http://schemas.openxmlformats.org/officeDocument/2006/relationships/hyperlink" Target="https://drive.google.com/open?id=1leOlRxnnfRMkbvGp5as7-BwdVQCW3jJE" TargetMode="External"/><Relationship Id="rId113" Type="http://schemas.openxmlformats.org/officeDocument/2006/relationships/hyperlink" Target="https://drive.google.com/open?id=1kEaI4V9vuipfHNX8Az46jq8Z0GCoL1QY" TargetMode="External"/><Relationship Id="rId112" Type="http://schemas.openxmlformats.org/officeDocument/2006/relationships/hyperlink" Target="https://drive.google.com/open?id=1W0biy-yO4ochr8uWtCUM-VzppbjPRWdm" TargetMode="External"/><Relationship Id="rId111" Type="http://schemas.openxmlformats.org/officeDocument/2006/relationships/hyperlink" Target="https://drive.google.com/open?id=1V8U05EW5W6gMNK53bU05yoSyO4q-RJyW" TargetMode="External"/><Relationship Id="rId206" Type="http://schemas.openxmlformats.org/officeDocument/2006/relationships/hyperlink" Target="https://drive.google.com/open?id=1FXEw4tR07TH0N-ReNA-xkpFg8hnXNxgL" TargetMode="External"/><Relationship Id="rId205" Type="http://schemas.openxmlformats.org/officeDocument/2006/relationships/hyperlink" Target="https://drive.google.com/open?id=1G1La2DonFfJRc0zWCHnu91UWseLPsLWL" TargetMode="External"/><Relationship Id="rId204" Type="http://schemas.openxmlformats.org/officeDocument/2006/relationships/hyperlink" Target="https://drive.google.com/open?id=1b-KW788HtoOEjbdCPbbe8j9vzvXCGEku" TargetMode="External"/><Relationship Id="rId203" Type="http://schemas.openxmlformats.org/officeDocument/2006/relationships/hyperlink" Target="https://drive.google.com/open?id=15njxMzuaDnSXvc5hkfWma-kQMTrVH0av" TargetMode="External"/><Relationship Id="rId209" Type="http://schemas.openxmlformats.org/officeDocument/2006/relationships/hyperlink" Target="https://drive.google.com/open?id=14DS0TaP80fD9b0o9YwiDueV6OcJlBiy4" TargetMode="External"/><Relationship Id="rId208" Type="http://schemas.openxmlformats.org/officeDocument/2006/relationships/hyperlink" Target="https://drive.google.com/open?id=1bfe0HnbfFm3NsD5a6bB-2GbaoMyWFSuG" TargetMode="External"/><Relationship Id="rId207" Type="http://schemas.openxmlformats.org/officeDocument/2006/relationships/hyperlink" Target="https://drive.google.com/open?id=1Pka2GnI1nnQsbi9eRnDjLblKcM1MHTLO" TargetMode="External"/><Relationship Id="rId202" Type="http://schemas.openxmlformats.org/officeDocument/2006/relationships/hyperlink" Target="https://drive.google.com/open?id=1D_PhZCe34nSZNOzlsJawdZZFYhH4jASA" TargetMode="External"/><Relationship Id="rId201" Type="http://schemas.openxmlformats.org/officeDocument/2006/relationships/hyperlink" Target="https://drive.google.com/open?id=1DaNBjRldxti8qGEctFlu4esLSYU_TE2o" TargetMode="External"/><Relationship Id="rId200" Type="http://schemas.openxmlformats.org/officeDocument/2006/relationships/hyperlink" Target="https://drive.google.com/open?id=1Tfjyh4gpiQacOrDpiZ33uszdWDWaqz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13.5"/>
    <col customWidth="1" min="7" max="7" width="65.38"/>
    <col customWidth="1" min="8" max="8" width="18.88"/>
    <col customWidth="1" min="9" max="9" width="40.88"/>
    <col customWidth="1" min="10" max="12" width="18.88"/>
    <col customWidth="1" min="13" max="13" width="20.0"/>
    <col customWidth="1" min="14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L1" s="3"/>
      <c r="N1" s="3"/>
    </row>
    <row r="2" ht="22.5" customHeight="1">
      <c r="A2" s="4">
        <v>46087.929946689816</v>
      </c>
      <c r="B2" s="5" t="s">
        <v>10</v>
      </c>
      <c r="C2" s="6" t="s">
        <v>11</v>
      </c>
      <c r="D2" s="7">
        <v>1.113863633E9</v>
      </c>
      <c r="E2" s="5" t="s">
        <v>12</v>
      </c>
      <c r="F2" s="5" t="s">
        <v>13</v>
      </c>
      <c r="G2" s="5" t="s">
        <v>14</v>
      </c>
      <c r="H2" s="5" t="s">
        <v>15</v>
      </c>
      <c r="I2" s="8" t="s">
        <v>16</v>
      </c>
      <c r="J2" s="9">
        <f t="shared" ref="J2:J7" si="1">IFERROR(VALUE(TRIM(MID(G2, SEARCH("(", G2)+1, SEARCH("LE", G2, SEARCH("(", G2))-SEARCH("(", G2)-1))), 0)</f>
        <v>175</v>
      </c>
      <c r="L2" s="3"/>
      <c r="N2" s="3"/>
    </row>
    <row r="3" ht="22.5" customHeight="1">
      <c r="A3" s="4">
        <v>46087.94002753472</v>
      </c>
      <c r="B3" s="5" t="s">
        <v>17</v>
      </c>
      <c r="C3" s="5" t="s">
        <v>18</v>
      </c>
      <c r="D3" s="10" t="s">
        <v>19</v>
      </c>
      <c r="E3" s="5" t="s">
        <v>17</v>
      </c>
      <c r="F3" s="5" t="s">
        <v>20</v>
      </c>
      <c r="G3" s="5" t="s">
        <v>21</v>
      </c>
      <c r="H3" s="5" t="s">
        <v>15</v>
      </c>
      <c r="I3" s="8" t="s">
        <v>22</v>
      </c>
      <c r="J3" s="9">
        <f t="shared" si="1"/>
        <v>165</v>
      </c>
      <c r="L3" s="11" t="s">
        <v>15</v>
      </c>
      <c r="N3" s="12" t="s">
        <v>23</v>
      </c>
    </row>
    <row r="4" ht="22.5" customHeight="1">
      <c r="A4" s="4">
        <v>46087.94738861111</v>
      </c>
      <c r="B4" s="5" t="s">
        <v>24</v>
      </c>
      <c r="C4" s="5" t="s">
        <v>25</v>
      </c>
      <c r="D4" s="10" t="s">
        <v>26</v>
      </c>
      <c r="E4" s="5" t="s">
        <v>24</v>
      </c>
      <c r="F4" s="5" t="s">
        <v>20</v>
      </c>
      <c r="G4" s="5" t="s">
        <v>27</v>
      </c>
      <c r="H4" s="5" t="s">
        <v>15</v>
      </c>
      <c r="I4" s="8" t="s">
        <v>28</v>
      </c>
      <c r="J4" s="9">
        <f t="shared" si="1"/>
        <v>180</v>
      </c>
      <c r="L4" s="13">
        <f>SUMIFS(J:J, H:H, "Instapay")+2410</f>
        <v>26300</v>
      </c>
      <c r="N4" s="13">
        <f>1680+960+1080+855+80+175+1200+180+230</f>
        <v>6440</v>
      </c>
    </row>
    <row r="5" ht="22.5" customHeight="1">
      <c r="A5" s="4">
        <v>46087.95222072917</v>
      </c>
      <c r="B5" s="5" t="s">
        <v>29</v>
      </c>
      <c r="C5" s="6" t="s">
        <v>30</v>
      </c>
      <c r="D5" s="10" t="s">
        <v>31</v>
      </c>
      <c r="E5" s="5" t="s">
        <v>29</v>
      </c>
      <c r="F5" s="5" t="s">
        <v>20</v>
      </c>
      <c r="G5" s="5" t="s">
        <v>14</v>
      </c>
      <c r="H5" s="5" t="s">
        <v>15</v>
      </c>
      <c r="I5" s="8" t="s">
        <v>32</v>
      </c>
      <c r="J5" s="9">
        <f t="shared" si="1"/>
        <v>175</v>
      </c>
      <c r="L5" s="3"/>
      <c r="N5" s="3"/>
    </row>
    <row r="6" ht="22.5" customHeight="1">
      <c r="A6" s="4">
        <v>46087.975624259256</v>
      </c>
      <c r="B6" s="5" t="s">
        <v>33</v>
      </c>
      <c r="C6" s="5" t="s">
        <v>34</v>
      </c>
      <c r="D6" s="10" t="s">
        <v>35</v>
      </c>
      <c r="E6" s="5" t="s">
        <v>33</v>
      </c>
      <c r="F6" s="5" t="s">
        <v>20</v>
      </c>
      <c r="G6" s="5" t="s">
        <v>27</v>
      </c>
      <c r="H6" s="5" t="s">
        <v>15</v>
      </c>
      <c r="I6" s="8" t="s">
        <v>36</v>
      </c>
      <c r="J6" s="9">
        <f t="shared" si="1"/>
        <v>180</v>
      </c>
      <c r="L6" s="14" t="s">
        <v>37</v>
      </c>
      <c r="N6" s="3"/>
    </row>
    <row r="7" ht="22.5" customHeight="1">
      <c r="A7" s="4">
        <v>46088.00244648148</v>
      </c>
      <c r="B7" s="5" t="s">
        <v>38</v>
      </c>
      <c r="C7" s="5" t="s">
        <v>39</v>
      </c>
      <c r="D7" s="10" t="s">
        <v>40</v>
      </c>
      <c r="E7" s="5" t="s">
        <v>38</v>
      </c>
      <c r="F7" s="5" t="s">
        <v>41</v>
      </c>
      <c r="G7" s="5" t="s">
        <v>14</v>
      </c>
      <c r="H7" s="15" t="s">
        <v>37</v>
      </c>
      <c r="I7" s="8" t="s">
        <v>42</v>
      </c>
      <c r="J7" s="9">
        <f t="shared" si="1"/>
        <v>175</v>
      </c>
      <c r="L7" s="13">
        <f>SUMIFS(J:J, H:H, "Vodafone Cash")</f>
        <v>6635</v>
      </c>
      <c r="N7" s="16">
        <v>2190.0</v>
      </c>
      <c r="O7" s="17" t="s">
        <v>43</v>
      </c>
    </row>
    <row r="8" ht="22.5" customHeight="1">
      <c r="A8" s="4">
        <v>46088.006257719906</v>
      </c>
      <c r="B8" s="5" t="s">
        <v>44</v>
      </c>
      <c r="C8" s="5" t="s">
        <v>45</v>
      </c>
      <c r="D8" s="10" t="s">
        <v>46</v>
      </c>
      <c r="E8" s="5" t="s">
        <v>44</v>
      </c>
      <c r="F8" s="5" t="s">
        <v>47</v>
      </c>
      <c r="G8" s="5" t="s">
        <v>48</v>
      </c>
      <c r="H8" s="15" t="s">
        <v>37</v>
      </c>
      <c r="I8" s="8" t="s">
        <v>49</v>
      </c>
      <c r="J8" s="5">
        <v>30.0</v>
      </c>
      <c r="L8" s="3"/>
      <c r="N8" s="16">
        <v>700.0</v>
      </c>
      <c r="O8" s="17" t="s">
        <v>50</v>
      </c>
    </row>
    <row r="9" ht="22.5" customHeight="1">
      <c r="A9" s="4">
        <v>46088.008203425925</v>
      </c>
      <c r="B9" s="5" t="s">
        <v>51</v>
      </c>
      <c r="C9" s="5" t="s">
        <v>52</v>
      </c>
      <c r="D9" s="10" t="s">
        <v>53</v>
      </c>
      <c r="E9" s="5" t="s">
        <v>51</v>
      </c>
      <c r="F9" s="5" t="s">
        <v>20</v>
      </c>
      <c r="G9" s="5" t="s">
        <v>21</v>
      </c>
      <c r="H9" s="5" t="s">
        <v>15</v>
      </c>
      <c r="I9" s="8" t="s">
        <v>54</v>
      </c>
      <c r="J9" s="9">
        <f>IFERROR(VALUE(TRIM(MID(G9, SEARCH("(", G9)+1, SEARCH("LE", G9, SEARCH("(", G9))-SEARCH("(", G9)-1))), 0)</f>
        <v>165</v>
      </c>
      <c r="L9" s="18" t="s">
        <v>55</v>
      </c>
      <c r="N9" s="16">
        <v>1100.0</v>
      </c>
      <c r="O9" s="19" t="s">
        <v>56</v>
      </c>
    </row>
    <row r="10" ht="22.5" customHeight="1">
      <c r="A10" s="20">
        <v>46088.028159016205</v>
      </c>
      <c r="B10" s="15" t="s">
        <v>57</v>
      </c>
      <c r="C10" s="15" t="s">
        <v>58</v>
      </c>
      <c r="D10" s="21" t="s">
        <v>59</v>
      </c>
      <c r="E10" s="15" t="s">
        <v>57</v>
      </c>
      <c r="F10" s="15" t="s">
        <v>47</v>
      </c>
      <c r="G10" s="15" t="s">
        <v>48</v>
      </c>
      <c r="H10" s="15" t="s">
        <v>15</v>
      </c>
      <c r="I10" s="22" t="s">
        <v>60</v>
      </c>
      <c r="J10" s="5">
        <v>30.0</v>
      </c>
      <c r="L10" s="13">
        <f>SUMIFS(J:J, H:H, "Telda")</f>
        <v>1120</v>
      </c>
      <c r="N10" s="16">
        <v>1000.0</v>
      </c>
      <c r="O10" s="19" t="s">
        <v>61</v>
      </c>
    </row>
    <row r="11" ht="22.5" customHeight="1">
      <c r="A11" s="20">
        <v>46088.04077015046</v>
      </c>
      <c r="B11" s="15" t="s">
        <v>62</v>
      </c>
      <c r="C11" s="15" t="s">
        <v>63</v>
      </c>
      <c r="D11" s="21" t="s">
        <v>64</v>
      </c>
      <c r="E11" s="15" t="s">
        <v>62</v>
      </c>
      <c r="F11" s="15" t="s">
        <v>65</v>
      </c>
      <c r="G11" s="15" t="s">
        <v>48</v>
      </c>
      <c r="H11" s="15" t="s">
        <v>66</v>
      </c>
      <c r="I11" s="22" t="s">
        <v>67</v>
      </c>
      <c r="J11" s="9">
        <f>IFERROR(VALUE(TRIM(MID(G11, SEARCH("(", G11)+1, SEARCH("LE", G11, SEARCH("(", G11))-SEARCH("(", G11)-1))), 0)</f>
        <v>0</v>
      </c>
      <c r="L11" s="3"/>
      <c r="N11" s="3"/>
    </row>
    <row r="12" ht="22.5" customHeight="1">
      <c r="A12" s="20">
        <v>46088.04085953704</v>
      </c>
      <c r="B12" s="15" t="s">
        <v>68</v>
      </c>
      <c r="C12" s="23" t="s">
        <v>69</v>
      </c>
      <c r="D12" s="21" t="s">
        <v>70</v>
      </c>
      <c r="E12" s="15" t="s">
        <v>68</v>
      </c>
      <c r="F12" s="15" t="s">
        <v>47</v>
      </c>
      <c r="G12" s="15" t="s">
        <v>48</v>
      </c>
      <c r="H12" s="15" t="s">
        <v>15</v>
      </c>
      <c r="I12" s="22" t="s">
        <v>71</v>
      </c>
      <c r="J12" s="5">
        <v>30.0</v>
      </c>
      <c r="L12" s="3"/>
    </row>
    <row r="13" ht="22.5" customHeight="1">
      <c r="A13" s="20">
        <v>46088.04274280093</v>
      </c>
      <c r="B13" s="15" t="s">
        <v>72</v>
      </c>
      <c r="C13" s="15" t="s">
        <v>73</v>
      </c>
      <c r="D13" s="21" t="s">
        <v>74</v>
      </c>
      <c r="E13" s="15" t="s">
        <v>72</v>
      </c>
      <c r="F13" s="15" t="s">
        <v>41</v>
      </c>
      <c r="G13" s="15" t="s">
        <v>48</v>
      </c>
      <c r="H13" s="15" t="s">
        <v>15</v>
      </c>
      <c r="I13" s="22" t="s">
        <v>75</v>
      </c>
      <c r="J13" s="5">
        <v>30.0</v>
      </c>
      <c r="L13" s="24" t="s">
        <v>76</v>
      </c>
      <c r="N13" s="12" t="s">
        <v>77</v>
      </c>
    </row>
    <row r="14" ht="22.5" customHeight="1">
      <c r="A14" s="20">
        <v>46088.1091058912</v>
      </c>
      <c r="B14" s="15" t="s">
        <v>78</v>
      </c>
      <c r="C14" s="15" t="s">
        <v>79</v>
      </c>
      <c r="D14" s="21" t="s">
        <v>80</v>
      </c>
      <c r="E14" s="15" t="s">
        <v>78</v>
      </c>
      <c r="F14" s="15" t="s">
        <v>20</v>
      </c>
      <c r="G14" s="15" t="s">
        <v>48</v>
      </c>
      <c r="H14" s="15" t="s">
        <v>15</v>
      </c>
      <c r="I14" s="22" t="s">
        <v>81</v>
      </c>
      <c r="J14" s="5">
        <v>30.0</v>
      </c>
      <c r="L14" s="13">
        <f>SUM(L4,L7,L10)</f>
        <v>34055</v>
      </c>
      <c r="N14" s="13">
        <f>N4-N7-N8-N9-N10</f>
        <v>1450</v>
      </c>
    </row>
    <row r="15" ht="22.5" customHeight="1">
      <c r="A15" s="20">
        <v>46088.11109612268</v>
      </c>
      <c r="B15" s="15" t="s">
        <v>82</v>
      </c>
      <c r="C15" s="15" t="s">
        <v>83</v>
      </c>
      <c r="D15" s="21" t="s">
        <v>84</v>
      </c>
      <c r="E15" s="15" t="s">
        <v>82</v>
      </c>
      <c r="F15" s="15" t="s">
        <v>20</v>
      </c>
      <c r="G15" s="15" t="s">
        <v>48</v>
      </c>
      <c r="H15" s="15" t="s">
        <v>15</v>
      </c>
      <c r="I15" s="22" t="s">
        <v>85</v>
      </c>
      <c r="J15" s="5">
        <v>30.0</v>
      </c>
      <c r="L15" s="25">
        <v>2410.0</v>
      </c>
      <c r="N15" s="3"/>
    </row>
    <row r="16" ht="22.5" customHeight="1">
      <c r="A16" s="20">
        <v>46088.23136171296</v>
      </c>
      <c r="B16" s="15" t="s">
        <v>86</v>
      </c>
      <c r="C16" s="15" t="s">
        <v>87</v>
      </c>
      <c r="D16" s="21" t="s">
        <v>88</v>
      </c>
      <c r="E16" s="15" t="s">
        <v>86</v>
      </c>
      <c r="F16" s="15" t="s">
        <v>89</v>
      </c>
      <c r="G16" s="15" t="s">
        <v>14</v>
      </c>
      <c r="H16" s="15" t="s">
        <v>15</v>
      </c>
      <c r="I16" s="22" t="s">
        <v>90</v>
      </c>
      <c r="J16" s="9">
        <f>IFERROR(VALUE(TRIM(MID(G16, SEARCH("(", G16)+1, SEARCH("LE", G16, SEARCH("(", G16))-SEARCH("(", G16)-1))), 0)</f>
        <v>175</v>
      </c>
      <c r="L16" s="26">
        <f>360+495+220+70</f>
        <v>1145</v>
      </c>
      <c r="M16" s="27">
        <f>SUM(L14,L15,L16)</f>
        <v>37610</v>
      </c>
      <c r="N16" s="3"/>
    </row>
    <row r="17" ht="22.5" customHeight="1">
      <c r="A17" s="20">
        <v>46088.33442530093</v>
      </c>
      <c r="B17" s="15" t="s">
        <v>91</v>
      </c>
      <c r="C17" s="15" t="s">
        <v>92</v>
      </c>
      <c r="D17" s="21" t="s">
        <v>93</v>
      </c>
      <c r="E17" s="15" t="s">
        <v>91</v>
      </c>
      <c r="F17" s="15" t="s">
        <v>20</v>
      </c>
      <c r="G17" s="15" t="s">
        <v>48</v>
      </c>
      <c r="H17" s="15" t="s">
        <v>15</v>
      </c>
      <c r="I17" s="22" t="s">
        <v>94</v>
      </c>
      <c r="J17" s="5">
        <v>30.0</v>
      </c>
      <c r="L17" s="3"/>
      <c r="N17" s="3"/>
    </row>
    <row r="18" ht="22.5" customHeight="1">
      <c r="A18" s="20">
        <v>46088.47348050926</v>
      </c>
      <c r="B18" s="15" t="s">
        <v>95</v>
      </c>
      <c r="C18" s="15" t="s">
        <v>96</v>
      </c>
      <c r="D18" s="21" t="s">
        <v>97</v>
      </c>
      <c r="E18" s="15" t="s">
        <v>95</v>
      </c>
      <c r="F18" s="15" t="s">
        <v>89</v>
      </c>
      <c r="G18" s="15" t="s">
        <v>14</v>
      </c>
      <c r="H18" s="15" t="s">
        <v>15</v>
      </c>
      <c r="I18" s="22" t="s">
        <v>98</v>
      </c>
      <c r="J18" s="9">
        <f t="shared" ref="J18:J22" si="2">IFERROR(VALUE(TRIM(MID(G18, SEARCH("(", G18)+1, SEARCH("LE", G18, SEARCH("(", G18))-SEARCH("(", G18)-1))), 0)</f>
        <v>175</v>
      </c>
      <c r="L18" s="28" t="s">
        <v>99</v>
      </c>
      <c r="M18" s="28" t="s">
        <v>100</v>
      </c>
      <c r="N18" s="28" t="s">
        <v>101</v>
      </c>
      <c r="O18" s="28" t="s">
        <v>102</v>
      </c>
      <c r="P18" s="28" t="s">
        <v>103</v>
      </c>
    </row>
    <row r="19" ht="22.5" customHeight="1">
      <c r="A19" s="20">
        <v>46088.514181516206</v>
      </c>
      <c r="B19" s="15" t="s">
        <v>104</v>
      </c>
      <c r="C19" s="15" t="s">
        <v>105</v>
      </c>
      <c r="D19" s="21" t="s">
        <v>106</v>
      </c>
      <c r="E19" s="15" t="s">
        <v>107</v>
      </c>
      <c r="F19" s="15" t="s">
        <v>47</v>
      </c>
      <c r="G19" s="15" t="s">
        <v>21</v>
      </c>
      <c r="H19" s="15" t="s">
        <v>15</v>
      </c>
      <c r="I19" s="22" t="s">
        <v>108</v>
      </c>
      <c r="J19" s="9">
        <f t="shared" si="2"/>
        <v>165</v>
      </c>
      <c r="L19" s="29" t="s">
        <v>27</v>
      </c>
      <c r="M19" s="30">
        <f>COUNTIF(G:G,L19)+3+11</f>
        <v>63</v>
      </c>
      <c r="N19" s="30">
        <f>180*M19</f>
        <v>11340</v>
      </c>
      <c r="O19" s="30">
        <f>35*M19</f>
        <v>2205</v>
      </c>
      <c r="P19" s="30">
        <f t="shared" ref="P19:P25" si="3">N19-O19</f>
        <v>9135</v>
      </c>
    </row>
    <row r="20" ht="22.5" customHeight="1">
      <c r="A20" s="20">
        <v>46088.522903310186</v>
      </c>
      <c r="B20" s="15" t="s">
        <v>109</v>
      </c>
      <c r="C20" s="15" t="s">
        <v>110</v>
      </c>
      <c r="D20" s="21" t="s">
        <v>111</v>
      </c>
      <c r="E20" s="15" t="s">
        <v>112</v>
      </c>
      <c r="F20" s="15" t="s">
        <v>41</v>
      </c>
      <c r="G20" s="15" t="s">
        <v>21</v>
      </c>
      <c r="H20" s="15" t="s">
        <v>15</v>
      </c>
      <c r="I20" s="22" t="s">
        <v>113</v>
      </c>
      <c r="J20" s="9">
        <f t="shared" si="2"/>
        <v>165</v>
      </c>
      <c r="L20" s="29" t="s">
        <v>114</v>
      </c>
      <c r="M20" s="30">
        <f>COUNTIF(G:G,L20)+1</f>
        <v>17</v>
      </c>
      <c r="N20" s="30">
        <f>220*M20</f>
        <v>3740</v>
      </c>
      <c r="O20" s="30">
        <f t="shared" ref="O20:O21" si="4">30*M20</f>
        <v>510</v>
      </c>
      <c r="P20" s="30">
        <f t="shared" si="3"/>
        <v>3230</v>
      </c>
    </row>
    <row r="21" ht="22.5" customHeight="1">
      <c r="A21" s="20">
        <v>46088.524135115746</v>
      </c>
      <c r="B21" s="15" t="s">
        <v>115</v>
      </c>
      <c r="C21" s="15" t="s">
        <v>116</v>
      </c>
      <c r="D21" s="21" t="s">
        <v>117</v>
      </c>
      <c r="E21" s="15" t="s">
        <v>118</v>
      </c>
      <c r="F21" s="15" t="s">
        <v>65</v>
      </c>
      <c r="G21" s="15" t="s">
        <v>21</v>
      </c>
      <c r="H21" s="15" t="s">
        <v>15</v>
      </c>
      <c r="I21" s="22" t="s">
        <v>119</v>
      </c>
      <c r="J21" s="9">
        <f t="shared" si="2"/>
        <v>165</v>
      </c>
      <c r="L21" s="29" t="s">
        <v>14</v>
      </c>
      <c r="M21" s="30">
        <f>COUNTIF(G:G,L21)+2</f>
        <v>40</v>
      </c>
      <c r="N21" s="30">
        <f>175*M21</f>
        <v>7000</v>
      </c>
      <c r="O21" s="30">
        <f t="shared" si="4"/>
        <v>1200</v>
      </c>
      <c r="P21" s="30">
        <f t="shared" si="3"/>
        <v>5800</v>
      </c>
    </row>
    <row r="22" ht="22.5" customHeight="1">
      <c r="A22" s="20">
        <v>46088.57907928241</v>
      </c>
      <c r="B22" s="15" t="s">
        <v>120</v>
      </c>
      <c r="C22" s="15" t="s">
        <v>121</v>
      </c>
      <c r="D22" s="21" t="s">
        <v>122</v>
      </c>
      <c r="E22" s="15" t="s">
        <v>120</v>
      </c>
      <c r="F22" s="15" t="s">
        <v>13</v>
      </c>
      <c r="G22" s="15" t="s">
        <v>27</v>
      </c>
      <c r="H22" s="15" t="s">
        <v>15</v>
      </c>
      <c r="I22" s="22" t="s">
        <v>123</v>
      </c>
      <c r="J22" s="9">
        <f t="shared" si="2"/>
        <v>180</v>
      </c>
      <c r="L22" s="29" t="s">
        <v>21</v>
      </c>
      <c r="M22" s="30">
        <f>COUNTIF(G:G,L22)+3</f>
        <v>64</v>
      </c>
      <c r="N22" s="30">
        <f>165*M22</f>
        <v>10560</v>
      </c>
      <c r="O22" s="30">
        <f>15*M22</f>
        <v>960</v>
      </c>
      <c r="P22" s="30">
        <f t="shared" si="3"/>
        <v>9600</v>
      </c>
    </row>
    <row r="23" ht="22.5" customHeight="1">
      <c r="A23" s="20">
        <v>46088.5988212963</v>
      </c>
      <c r="B23" s="15" t="s">
        <v>124</v>
      </c>
      <c r="C23" s="15" t="s">
        <v>125</v>
      </c>
      <c r="D23" s="21" t="s">
        <v>126</v>
      </c>
      <c r="E23" s="15" t="s">
        <v>124</v>
      </c>
      <c r="F23" s="15" t="s">
        <v>47</v>
      </c>
      <c r="G23" s="15" t="s">
        <v>48</v>
      </c>
      <c r="H23" s="15" t="s">
        <v>15</v>
      </c>
      <c r="I23" s="22" t="s">
        <v>127</v>
      </c>
      <c r="J23" s="5">
        <v>30.0</v>
      </c>
      <c r="L23" s="29" t="s">
        <v>128</v>
      </c>
      <c r="M23" s="31">
        <v>25.0</v>
      </c>
      <c r="N23" s="31">
        <v>0.0</v>
      </c>
      <c r="O23" s="31">
        <v>0.0</v>
      </c>
      <c r="P23" s="30">
        <f t="shared" si="3"/>
        <v>0</v>
      </c>
    </row>
    <row r="24" ht="22.5" customHeight="1">
      <c r="A24" s="20">
        <v>46088.60382611111</v>
      </c>
      <c r="B24" s="15" t="s">
        <v>129</v>
      </c>
      <c r="C24" s="15" t="s">
        <v>130</v>
      </c>
      <c r="D24" s="21" t="s">
        <v>131</v>
      </c>
      <c r="E24" s="15" t="s">
        <v>129</v>
      </c>
      <c r="F24" s="15" t="s">
        <v>47</v>
      </c>
      <c r="G24" s="15" t="s">
        <v>114</v>
      </c>
      <c r="H24" s="15" t="s">
        <v>37</v>
      </c>
      <c r="I24" s="22" t="s">
        <v>132</v>
      </c>
      <c r="J24" s="9">
        <f t="shared" ref="J24:J231" si="5">IFERROR(VALUE(TRIM(MID(G24, SEARCH("(", G24)+1, SEARCH("LE", G24, SEARCH("(", G24))-SEARCH("(", G24)-1))), 0)</f>
        <v>220</v>
      </c>
      <c r="L24" s="29" t="s">
        <v>133</v>
      </c>
      <c r="M24" s="30">
        <f t="shared" ref="M24:M25" si="6">COUNTIF(G:G,L24)+1</f>
        <v>7</v>
      </c>
      <c r="N24" s="30">
        <f>70*M24</f>
        <v>490</v>
      </c>
      <c r="O24" s="30">
        <f>20*M24</f>
        <v>140</v>
      </c>
      <c r="P24" s="30">
        <f t="shared" si="3"/>
        <v>350</v>
      </c>
    </row>
    <row r="25" ht="22.5" customHeight="1">
      <c r="A25" s="20">
        <v>46088.61302445602</v>
      </c>
      <c r="B25" s="15" t="s">
        <v>134</v>
      </c>
      <c r="C25" s="15" t="s">
        <v>135</v>
      </c>
      <c r="D25" s="21" t="s">
        <v>136</v>
      </c>
      <c r="E25" s="15" t="s">
        <v>134</v>
      </c>
      <c r="F25" s="15" t="s">
        <v>47</v>
      </c>
      <c r="G25" s="15" t="s">
        <v>27</v>
      </c>
      <c r="H25" s="15" t="s">
        <v>15</v>
      </c>
      <c r="I25" s="22" t="s">
        <v>137</v>
      </c>
      <c r="J25" s="9">
        <f t="shared" si="5"/>
        <v>180</v>
      </c>
      <c r="L25" s="29" t="s">
        <v>138</v>
      </c>
      <c r="M25" s="30">
        <f t="shared" si="6"/>
        <v>9</v>
      </c>
      <c r="N25" s="30">
        <f>80*M25</f>
        <v>720</v>
      </c>
      <c r="O25" s="30">
        <f>25*M25</f>
        <v>225</v>
      </c>
      <c r="P25" s="30">
        <f t="shared" si="3"/>
        <v>495</v>
      </c>
    </row>
    <row r="26" ht="22.5" customHeight="1">
      <c r="A26" s="20">
        <v>46088.61743554398</v>
      </c>
      <c r="B26" s="15" t="s">
        <v>139</v>
      </c>
      <c r="C26" s="15" t="s">
        <v>140</v>
      </c>
      <c r="D26" s="21" t="s">
        <v>141</v>
      </c>
      <c r="E26" s="15" t="s">
        <v>142</v>
      </c>
      <c r="F26" s="15" t="s">
        <v>20</v>
      </c>
      <c r="G26" s="15" t="s">
        <v>14</v>
      </c>
      <c r="H26" s="15" t="s">
        <v>15</v>
      </c>
      <c r="I26" s="22" t="s">
        <v>143</v>
      </c>
      <c r="J26" s="9">
        <f t="shared" si="5"/>
        <v>175</v>
      </c>
      <c r="L26" s="32" t="s">
        <v>144</v>
      </c>
      <c r="M26" s="33">
        <v>52.0</v>
      </c>
      <c r="N26" s="33">
        <f>30*M26</f>
        <v>1560</v>
      </c>
      <c r="O26" s="33">
        <f>30*M26</f>
        <v>1560</v>
      </c>
      <c r="P26" s="34">
        <v>0.0</v>
      </c>
    </row>
    <row r="27" ht="22.5" customHeight="1">
      <c r="A27" s="20">
        <v>46088.61888728009</v>
      </c>
      <c r="B27" s="15" t="s">
        <v>145</v>
      </c>
      <c r="C27" s="15" t="s">
        <v>146</v>
      </c>
      <c r="D27" s="21" t="s">
        <v>147</v>
      </c>
      <c r="E27" s="15" t="s">
        <v>145</v>
      </c>
      <c r="F27" s="15" t="s">
        <v>20</v>
      </c>
      <c r="G27" s="15" t="s">
        <v>27</v>
      </c>
      <c r="H27" s="15" t="s">
        <v>15</v>
      </c>
      <c r="I27" s="22" t="s">
        <v>148</v>
      </c>
      <c r="J27" s="9">
        <f t="shared" si="5"/>
        <v>180</v>
      </c>
      <c r="L27" s="35" t="s">
        <v>149</v>
      </c>
      <c r="M27" s="36">
        <f>SUM(M19:M25)</f>
        <v>225</v>
      </c>
      <c r="N27" s="36">
        <f t="shared" ref="N27:P27" si="7">SUM(N19:N26)</f>
        <v>35410</v>
      </c>
      <c r="O27" s="36">
        <f t="shared" si="7"/>
        <v>6800</v>
      </c>
      <c r="P27" s="36">
        <f t="shared" si="7"/>
        <v>28610</v>
      </c>
    </row>
    <row r="28" ht="22.5" customHeight="1">
      <c r="A28" s="20">
        <v>46088.61983776621</v>
      </c>
      <c r="B28" s="15" t="s">
        <v>150</v>
      </c>
      <c r="C28" s="15" t="s">
        <v>151</v>
      </c>
      <c r="D28" s="21" t="s">
        <v>152</v>
      </c>
      <c r="E28" s="15" t="s">
        <v>150</v>
      </c>
      <c r="F28" s="15" t="s">
        <v>20</v>
      </c>
      <c r="G28" s="15" t="s">
        <v>114</v>
      </c>
      <c r="H28" s="15" t="s">
        <v>37</v>
      </c>
      <c r="I28" s="22" t="s">
        <v>153</v>
      </c>
      <c r="J28" s="9">
        <f t="shared" si="5"/>
        <v>220</v>
      </c>
      <c r="L28" s="3"/>
      <c r="N28" s="3"/>
    </row>
    <row r="29" ht="22.5" customHeight="1">
      <c r="A29" s="20">
        <v>46088.6279569676</v>
      </c>
      <c r="B29" s="15" t="s">
        <v>154</v>
      </c>
      <c r="C29" s="15" t="s">
        <v>155</v>
      </c>
      <c r="D29" s="21" t="s">
        <v>156</v>
      </c>
      <c r="E29" s="15" t="s">
        <v>154</v>
      </c>
      <c r="F29" s="15" t="s">
        <v>47</v>
      </c>
      <c r="G29" s="15" t="s">
        <v>14</v>
      </c>
      <c r="H29" s="15" t="s">
        <v>15</v>
      </c>
      <c r="I29" s="22" t="s">
        <v>157</v>
      </c>
      <c r="J29" s="9">
        <f t="shared" si="5"/>
        <v>175</v>
      </c>
      <c r="N29" s="3"/>
    </row>
    <row r="30" ht="22.5" customHeight="1">
      <c r="A30" s="20">
        <v>46088.6280856713</v>
      </c>
      <c r="B30" s="15" t="s">
        <v>158</v>
      </c>
      <c r="C30" s="15" t="s">
        <v>159</v>
      </c>
      <c r="D30" s="21" t="s">
        <v>160</v>
      </c>
      <c r="E30" s="15" t="s">
        <v>158</v>
      </c>
      <c r="F30" s="15" t="s">
        <v>47</v>
      </c>
      <c r="G30" s="15" t="s">
        <v>114</v>
      </c>
      <c r="H30" s="15" t="s">
        <v>15</v>
      </c>
      <c r="I30" s="22" t="s">
        <v>161</v>
      </c>
      <c r="J30" s="9">
        <f t="shared" si="5"/>
        <v>220</v>
      </c>
      <c r="N30" s="3"/>
    </row>
    <row r="31" ht="22.5" customHeight="1">
      <c r="A31" s="20">
        <v>46088.642945914355</v>
      </c>
      <c r="B31" s="15" t="s">
        <v>162</v>
      </c>
      <c r="C31" s="15" t="s">
        <v>163</v>
      </c>
      <c r="D31" s="21" t="s">
        <v>164</v>
      </c>
      <c r="E31" s="15" t="s">
        <v>162</v>
      </c>
      <c r="F31" s="15" t="s">
        <v>20</v>
      </c>
      <c r="G31" s="15" t="s">
        <v>21</v>
      </c>
      <c r="H31" s="15" t="s">
        <v>15</v>
      </c>
      <c r="I31" s="22" t="s">
        <v>165</v>
      </c>
      <c r="J31" s="9">
        <f t="shared" si="5"/>
        <v>165</v>
      </c>
      <c r="N31" s="3"/>
      <c r="O31" s="25">
        <f>6780-2500-700-600-1200</f>
        <v>1780</v>
      </c>
    </row>
    <row r="32" ht="22.5" customHeight="1">
      <c r="A32" s="20">
        <v>46088.65328597222</v>
      </c>
      <c r="B32" s="15" t="s">
        <v>166</v>
      </c>
      <c r="C32" s="15" t="s">
        <v>167</v>
      </c>
      <c r="D32" s="21" t="s">
        <v>168</v>
      </c>
      <c r="E32" s="15" t="s">
        <v>166</v>
      </c>
      <c r="F32" s="15" t="s">
        <v>47</v>
      </c>
      <c r="G32" s="15" t="s">
        <v>21</v>
      </c>
      <c r="H32" s="15" t="s">
        <v>37</v>
      </c>
      <c r="I32" s="22" t="s">
        <v>169</v>
      </c>
      <c r="J32" s="9">
        <f t="shared" si="5"/>
        <v>165</v>
      </c>
      <c r="L32" s="3"/>
      <c r="N32" s="3"/>
    </row>
    <row r="33" ht="22.5" customHeight="1">
      <c r="A33" s="20">
        <v>46088.657624583335</v>
      </c>
      <c r="B33" s="15" t="s">
        <v>170</v>
      </c>
      <c r="C33" s="15" t="s">
        <v>171</v>
      </c>
      <c r="D33" s="21" t="s">
        <v>172</v>
      </c>
      <c r="E33" s="15" t="s">
        <v>170</v>
      </c>
      <c r="F33" s="15" t="s">
        <v>47</v>
      </c>
      <c r="G33" s="15" t="s">
        <v>21</v>
      </c>
      <c r="H33" s="15" t="s">
        <v>15</v>
      </c>
      <c r="I33" s="22" t="s">
        <v>173</v>
      </c>
      <c r="J33" s="9">
        <f t="shared" si="5"/>
        <v>165</v>
      </c>
      <c r="L33" s="3"/>
      <c r="N33" s="3"/>
    </row>
    <row r="34" ht="22.5" customHeight="1">
      <c r="A34" s="20">
        <v>46088.69477006944</v>
      </c>
      <c r="B34" s="15" t="s">
        <v>174</v>
      </c>
      <c r="C34" s="23" t="s">
        <v>175</v>
      </c>
      <c r="D34" s="21" t="s">
        <v>176</v>
      </c>
      <c r="E34" s="15" t="s">
        <v>177</v>
      </c>
      <c r="F34" s="15" t="s">
        <v>20</v>
      </c>
      <c r="G34" s="15" t="s">
        <v>27</v>
      </c>
      <c r="H34" s="15" t="s">
        <v>37</v>
      </c>
      <c r="I34" s="22" t="s">
        <v>178</v>
      </c>
      <c r="J34" s="9">
        <f t="shared" si="5"/>
        <v>180</v>
      </c>
      <c r="L34" s="3"/>
      <c r="N34" s="3"/>
    </row>
    <row r="35" ht="22.5" customHeight="1">
      <c r="A35" s="20">
        <v>46088.70266043981</v>
      </c>
      <c r="B35" s="15" t="s">
        <v>179</v>
      </c>
      <c r="C35" s="23" t="s">
        <v>180</v>
      </c>
      <c r="D35" s="21" t="s">
        <v>181</v>
      </c>
      <c r="E35" s="15" t="s">
        <v>179</v>
      </c>
      <c r="F35" s="15" t="s">
        <v>65</v>
      </c>
      <c r="G35" s="15" t="s">
        <v>27</v>
      </c>
      <c r="H35" s="15" t="s">
        <v>37</v>
      </c>
      <c r="I35" s="22" t="s">
        <v>182</v>
      </c>
      <c r="J35" s="9">
        <f t="shared" si="5"/>
        <v>180</v>
      </c>
      <c r="L35" s="3"/>
      <c r="N35" s="3"/>
    </row>
    <row r="36" ht="22.5" customHeight="1">
      <c r="A36" s="20">
        <v>46088.770813738425</v>
      </c>
      <c r="B36" s="15" t="s">
        <v>183</v>
      </c>
      <c r="C36" s="23" t="s">
        <v>184</v>
      </c>
      <c r="D36" s="21" t="s">
        <v>185</v>
      </c>
      <c r="E36" s="15" t="s">
        <v>183</v>
      </c>
      <c r="F36" s="15" t="s">
        <v>20</v>
      </c>
      <c r="G36" s="15" t="s">
        <v>114</v>
      </c>
      <c r="H36" s="15" t="s">
        <v>15</v>
      </c>
      <c r="I36" s="22" t="s">
        <v>186</v>
      </c>
      <c r="J36" s="9">
        <f t="shared" si="5"/>
        <v>220</v>
      </c>
      <c r="L36" s="3"/>
      <c r="N36" s="3"/>
    </row>
    <row r="37" ht="22.5" customHeight="1">
      <c r="A37" s="20">
        <v>46088.7796949537</v>
      </c>
      <c r="B37" s="15" t="s">
        <v>187</v>
      </c>
      <c r="C37" s="15" t="s">
        <v>188</v>
      </c>
      <c r="D37" s="21" t="s">
        <v>189</v>
      </c>
      <c r="E37" s="15" t="s">
        <v>190</v>
      </c>
      <c r="F37" s="15" t="s">
        <v>20</v>
      </c>
      <c r="G37" s="15" t="s">
        <v>14</v>
      </c>
      <c r="H37" s="15" t="s">
        <v>15</v>
      </c>
      <c r="I37" s="22" t="s">
        <v>191</v>
      </c>
      <c r="J37" s="9">
        <f t="shared" si="5"/>
        <v>175</v>
      </c>
      <c r="L37" s="3"/>
      <c r="N37" s="3"/>
    </row>
    <row r="38" ht="22.5" customHeight="1">
      <c r="A38" s="20">
        <v>46088.79981642361</v>
      </c>
      <c r="B38" s="15" t="s">
        <v>192</v>
      </c>
      <c r="C38" s="23" t="s">
        <v>193</v>
      </c>
      <c r="D38" s="21" t="s">
        <v>194</v>
      </c>
      <c r="E38" s="15" t="s">
        <v>192</v>
      </c>
      <c r="F38" s="15" t="s">
        <v>41</v>
      </c>
      <c r="G38" s="15" t="s">
        <v>27</v>
      </c>
      <c r="H38" s="15" t="s">
        <v>15</v>
      </c>
      <c r="I38" s="22" t="s">
        <v>195</v>
      </c>
      <c r="J38" s="9">
        <f t="shared" si="5"/>
        <v>180</v>
      </c>
      <c r="L38" s="3"/>
      <c r="N38" s="3"/>
    </row>
    <row r="39" ht="22.5" customHeight="1">
      <c r="A39" s="20">
        <v>46088.80356328704</v>
      </c>
      <c r="B39" s="15" t="s">
        <v>196</v>
      </c>
      <c r="C39" s="15" t="s">
        <v>197</v>
      </c>
      <c r="D39" s="21" t="s">
        <v>198</v>
      </c>
      <c r="E39" s="15" t="s">
        <v>196</v>
      </c>
      <c r="F39" s="15" t="s">
        <v>20</v>
      </c>
      <c r="G39" s="15" t="s">
        <v>27</v>
      </c>
      <c r="H39" s="15" t="s">
        <v>15</v>
      </c>
      <c r="I39" s="22" t="s">
        <v>199</v>
      </c>
      <c r="J39" s="9">
        <f t="shared" si="5"/>
        <v>180</v>
      </c>
    </row>
    <row r="40" ht="22.5" customHeight="1">
      <c r="A40" s="20">
        <v>46088.80698378472</v>
      </c>
      <c r="B40" s="15" t="s">
        <v>200</v>
      </c>
      <c r="C40" s="15" t="s">
        <v>201</v>
      </c>
      <c r="D40" s="21" t="s">
        <v>202</v>
      </c>
      <c r="E40" s="15" t="s">
        <v>200</v>
      </c>
      <c r="F40" s="15" t="s">
        <v>20</v>
      </c>
      <c r="G40" s="15" t="s">
        <v>14</v>
      </c>
      <c r="H40" s="15" t="s">
        <v>15</v>
      </c>
      <c r="I40" s="22" t="s">
        <v>203</v>
      </c>
      <c r="J40" s="9">
        <f t="shared" si="5"/>
        <v>175</v>
      </c>
      <c r="L40" s="3"/>
      <c r="N40" s="3"/>
    </row>
    <row r="41" ht="22.5" customHeight="1">
      <c r="A41" s="20">
        <v>46088.877926284724</v>
      </c>
      <c r="B41" s="15" t="s">
        <v>204</v>
      </c>
      <c r="C41" s="15" t="s">
        <v>205</v>
      </c>
      <c r="D41" s="21" t="s">
        <v>206</v>
      </c>
      <c r="E41" s="15" t="s">
        <v>207</v>
      </c>
      <c r="F41" s="15" t="s">
        <v>13</v>
      </c>
      <c r="G41" s="15" t="s">
        <v>27</v>
      </c>
      <c r="H41" s="15" t="s">
        <v>15</v>
      </c>
      <c r="I41" s="22" t="s">
        <v>208</v>
      </c>
      <c r="J41" s="9">
        <f t="shared" si="5"/>
        <v>180</v>
      </c>
      <c r="L41" s="3"/>
      <c r="N41" s="3"/>
    </row>
    <row r="42" ht="22.5" customHeight="1">
      <c r="A42" s="20">
        <v>46088.8873404051</v>
      </c>
      <c r="B42" s="15" t="s">
        <v>209</v>
      </c>
      <c r="C42" s="15" t="s">
        <v>210</v>
      </c>
      <c r="D42" s="21" t="s">
        <v>211</v>
      </c>
      <c r="E42" s="15" t="s">
        <v>212</v>
      </c>
      <c r="F42" s="15" t="s">
        <v>47</v>
      </c>
      <c r="G42" s="15" t="s">
        <v>14</v>
      </c>
      <c r="H42" s="15" t="s">
        <v>37</v>
      </c>
      <c r="I42" s="22" t="s">
        <v>213</v>
      </c>
      <c r="J42" s="9">
        <f t="shared" si="5"/>
        <v>175</v>
      </c>
      <c r="L42" s="3">
        <f>SUMIFS(J1:J6, H1:H6, "Instapay")</f>
        <v>875</v>
      </c>
      <c r="N42" s="3"/>
    </row>
    <row r="43" ht="22.5" customHeight="1">
      <c r="A43" s="20">
        <v>46088.897676712964</v>
      </c>
      <c r="B43" s="15" t="s">
        <v>214</v>
      </c>
      <c r="C43" s="15" t="s">
        <v>215</v>
      </c>
      <c r="D43" s="21" t="s">
        <v>216</v>
      </c>
      <c r="E43" s="15" t="s">
        <v>214</v>
      </c>
      <c r="F43" s="15" t="s">
        <v>20</v>
      </c>
      <c r="G43" s="15" t="s">
        <v>114</v>
      </c>
      <c r="H43" s="15" t="s">
        <v>15</v>
      </c>
      <c r="I43" s="22" t="s">
        <v>217</v>
      </c>
      <c r="J43" s="9">
        <f t="shared" si="5"/>
        <v>220</v>
      </c>
      <c r="L43" s="3">
        <f>SUMIFS(J7:J49, H7:H49, "Instapay")</f>
        <v>4915</v>
      </c>
      <c r="N43" s="3"/>
    </row>
    <row r="44" ht="22.5" customHeight="1">
      <c r="A44" s="20">
        <v>46088.90846348379</v>
      </c>
      <c r="B44" s="15" t="s">
        <v>218</v>
      </c>
      <c r="C44" s="15" t="s">
        <v>219</v>
      </c>
      <c r="D44" s="21" t="s">
        <v>220</v>
      </c>
      <c r="E44" s="15" t="s">
        <v>218</v>
      </c>
      <c r="F44" s="15" t="s">
        <v>13</v>
      </c>
      <c r="G44" s="15" t="s">
        <v>221</v>
      </c>
      <c r="H44" s="15" t="s">
        <v>15</v>
      </c>
      <c r="I44" s="22" t="s">
        <v>222</v>
      </c>
      <c r="J44" s="37">
        <f t="shared" si="5"/>
        <v>30</v>
      </c>
      <c r="L44" s="3">
        <f>SUMIFS(J50:J231, H50:H231, "Instapay")</f>
        <v>18100</v>
      </c>
      <c r="N44" s="3"/>
    </row>
    <row r="45" ht="22.5" customHeight="1">
      <c r="A45" s="20">
        <v>46088.91565784722</v>
      </c>
      <c r="B45" s="15" t="s">
        <v>223</v>
      </c>
      <c r="C45" s="15" t="s">
        <v>224</v>
      </c>
      <c r="D45" s="21" t="s">
        <v>225</v>
      </c>
      <c r="E45" s="15" t="s">
        <v>223</v>
      </c>
      <c r="F45" s="15" t="s">
        <v>13</v>
      </c>
      <c r="G45" s="15" t="s">
        <v>27</v>
      </c>
      <c r="H45" s="15" t="s">
        <v>15</v>
      </c>
      <c r="I45" s="22" t="s">
        <v>226</v>
      </c>
      <c r="J45" s="37">
        <f t="shared" si="5"/>
        <v>180</v>
      </c>
      <c r="L45" s="3">
        <f>SUMIFS(J219:J232, H219:H232, "Instapay")</f>
        <v>840</v>
      </c>
      <c r="N45" s="3"/>
    </row>
    <row r="46" ht="22.5" customHeight="1">
      <c r="A46" s="20">
        <v>46088.91681628472</v>
      </c>
      <c r="B46" s="15" t="s">
        <v>227</v>
      </c>
      <c r="C46" s="23" t="s">
        <v>228</v>
      </c>
      <c r="D46" s="21" t="s">
        <v>229</v>
      </c>
      <c r="E46" s="15" t="s">
        <v>227</v>
      </c>
      <c r="F46" s="15" t="s">
        <v>20</v>
      </c>
      <c r="G46" s="15" t="s">
        <v>114</v>
      </c>
      <c r="H46" s="15" t="s">
        <v>15</v>
      </c>
      <c r="I46" s="22" t="s">
        <v>230</v>
      </c>
      <c r="J46" s="37">
        <f t="shared" si="5"/>
        <v>220</v>
      </c>
      <c r="L46" s="3"/>
      <c r="N46" s="3"/>
    </row>
    <row r="47" ht="22.5" customHeight="1">
      <c r="A47" s="20">
        <v>46088.98881092593</v>
      </c>
      <c r="B47" s="15" t="s">
        <v>231</v>
      </c>
      <c r="C47" s="15" t="s">
        <v>232</v>
      </c>
      <c r="D47" s="21" t="s">
        <v>233</v>
      </c>
      <c r="E47" s="15" t="s">
        <v>231</v>
      </c>
      <c r="F47" s="15" t="s">
        <v>13</v>
      </c>
      <c r="G47" s="15" t="s">
        <v>21</v>
      </c>
      <c r="H47" s="15" t="s">
        <v>15</v>
      </c>
      <c r="I47" s="22" t="s">
        <v>234</v>
      </c>
      <c r="J47" s="37">
        <f t="shared" si="5"/>
        <v>165</v>
      </c>
      <c r="L47" s="3"/>
      <c r="N47" s="3"/>
    </row>
    <row r="48" ht="22.5" customHeight="1">
      <c r="A48" s="20">
        <v>46088.9906096875</v>
      </c>
      <c r="B48" s="15" t="s">
        <v>235</v>
      </c>
      <c r="C48" s="15" t="s">
        <v>236</v>
      </c>
      <c r="D48" s="21" t="s">
        <v>237</v>
      </c>
      <c r="E48" s="15" t="s">
        <v>235</v>
      </c>
      <c r="F48" s="15" t="s">
        <v>13</v>
      </c>
      <c r="G48" s="15" t="s">
        <v>21</v>
      </c>
      <c r="H48" s="15" t="s">
        <v>15</v>
      </c>
      <c r="I48" s="22" t="s">
        <v>238</v>
      </c>
      <c r="J48" s="37">
        <f t="shared" si="5"/>
        <v>165</v>
      </c>
      <c r="L48" s="3"/>
      <c r="N48" s="3"/>
    </row>
    <row r="49" ht="22.5" customHeight="1">
      <c r="A49" s="20">
        <v>46088.99600047454</v>
      </c>
      <c r="B49" s="15" t="s">
        <v>239</v>
      </c>
      <c r="C49" s="15" t="s">
        <v>240</v>
      </c>
      <c r="D49" s="21" t="s">
        <v>241</v>
      </c>
      <c r="E49" s="15" t="s">
        <v>239</v>
      </c>
      <c r="F49" s="15" t="s">
        <v>20</v>
      </c>
      <c r="G49" s="15" t="s">
        <v>21</v>
      </c>
      <c r="H49" s="15" t="s">
        <v>15</v>
      </c>
      <c r="I49" s="22" t="s">
        <v>242</v>
      </c>
      <c r="J49" s="37">
        <f t="shared" si="5"/>
        <v>165</v>
      </c>
      <c r="L49" s="3"/>
      <c r="N49" s="3"/>
    </row>
    <row r="50" ht="22.5" customHeight="1">
      <c r="A50" s="20">
        <v>46089.00014125</v>
      </c>
      <c r="B50" s="15" t="s">
        <v>243</v>
      </c>
      <c r="C50" s="15" t="s">
        <v>244</v>
      </c>
      <c r="D50" s="21" t="s">
        <v>245</v>
      </c>
      <c r="E50" s="15" t="s">
        <v>243</v>
      </c>
      <c r="F50" s="15" t="s">
        <v>20</v>
      </c>
      <c r="G50" s="15" t="s">
        <v>27</v>
      </c>
      <c r="H50" s="15" t="s">
        <v>15</v>
      </c>
      <c r="I50" s="22" t="s">
        <v>246</v>
      </c>
      <c r="J50" s="37">
        <f t="shared" si="5"/>
        <v>180</v>
      </c>
      <c r="L50" s="3"/>
      <c r="N50" s="3"/>
    </row>
    <row r="51" ht="22.5" customHeight="1">
      <c r="A51" s="20">
        <v>46089.001228796296</v>
      </c>
      <c r="B51" s="15" t="s">
        <v>247</v>
      </c>
      <c r="C51" s="15" t="s">
        <v>248</v>
      </c>
      <c r="D51" s="21" t="s">
        <v>249</v>
      </c>
      <c r="E51" s="15" t="s">
        <v>247</v>
      </c>
      <c r="F51" s="15" t="s">
        <v>47</v>
      </c>
      <c r="G51" s="15" t="s">
        <v>221</v>
      </c>
      <c r="H51" s="15" t="s">
        <v>37</v>
      </c>
      <c r="I51" s="22" t="s">
        <v>250</v>
      </c>
      <c r="J51" s="37">
        <f t="shared" si="5"/>
        <v>30</v>
      </c>
      <c r="L51" s="3"/>
      <c r="N51" s="3"/>
    </row>
    <row r="52" ht="22.5" customHeight="1">
      <c r="A52" s="20">
        <v>46089.01638644676</v>
      </c>
      <c r="B52" s="15" t="s">
        <v>251</v>
      </c>
      <c r="C52" s="15" t="s">
        <v>252</v>
      </c>
      <c r="D52" s="21" t="s">
        <v>253</v>
      </c>
      <c r="E52" s="15" t="s">
        <v>251</v>
      </c>
      <c r="F52" s="15" t="s">
        <v>47</v>
      </c>
      <c r="G52" s="15" t="s">
        <v>27</v>
      </c>
      <c r="H52" s="15" t="s">
        <v>15</v>
      </c>
      <c r="I52" s="22" t="s">
        <v>254</v>
      </c>
      <c r="J52" s="37">
        <f t="shared" si="5"/>
        <v>180</v>
      </c>
      <c r="L52" s="3"/>
      <c r="N52" s="3"/>
    </row>
    <row r="53" ht="22.5" customHeight="1">
      <c r="A53" s="20">
        <v>46089.02128842592</v>
      </c>
      <c r="B53" s="15" t="s">
        <v>255</v>
      </c>
      <c r="C53" s="15" t="s">
        <v>256</v>
      </c>
      <c r="D53" s="21" t="s">
        <v>257</v>
      </c>
      <c r="E53" s="15" t="s">
        <v>255</v>
      </c>
      <c r="F53" s="15" t="s">
        <v>89</v>
      </c>
      <c r="G53" s="15" t="s">
        <v>114</v>
      </c>
      <c r="H53" s="15" t="s">
        <v>37</v>
      </c>
      <c r="I53" s="22" t="s">
        <v>258</v>
      </c>
      <c r="J53" s="37">
        <f t="shared" si="5"/>
        <v>220</v>
      </c>
      <c r="L53" s="3"/>
      <c r="N53" s="3"/>
    </row>
    <row r="54" ht="22.5" customHeight="1">
      <c r="A54" s="20">
        <v>46089.0339874537</v>
      </c>
      <c r="B54" s="15" t="s">
        <v>259</v>
      </c>
      <c r="C54" s="15" t="s">
        <v>260</v>
      </c>
      <c r="D54" s="21" t="s">
        <v>261</v>
      </c>
      <c r="E54" s="15" t="s">
        <v>259</v>
      </c>
      <c r="F54" s="15" t="s">
        <v>20</v>
      </c>
      <c r="G54" s="15" t="s">
        <v>133</v>
      </c>
      <c r="H54" s="15" t="s">
        <v>15</v>
      </c>
      <c r="I54" s="22" t="s">
        <v>262</v>
      </c>
      <c r="J54" s="37">
        <f t="shared" si="5"/>
        <v>70</v>
      </c>
      <c r="L54" s="3"/>
      <c r="N54" s="3"/>
    </row>
    <row r="55" ht="22.5" customHeight="1">
      <c r="A55" s="20">
        <v>46089.04129710648</v>
      </c>
      <c r="B55" s="15" t="s">
        <v>263</v>
      </c>
      <c r="C55" s="23" t="s">
        <v>264</v>
      </c>
      <c r="D55" s="21" t="s">
        <v>265</v>
      </c>
      <c r="E55" s="15" t="s">
        <v>263</v>
      </c>
      <c r="F55" s="15" t="s">
        <v>89</v>
      </c>
      <c r="G55" s="15" t="s">
        <v>114</v>
      </c>
      <c r="H55" s="15" t="s">
        <v>15</v>
      </c>
      <c r="I55" s="22" t="s">
        <v>266</v>
      </c>
      <c r="J55" s="37">
        <f t="shared" si="5"/>
        <v>220</v>
      </c>
      <c r="L55" s="3"/>
      <c r="N55" s="3"/>
    </row>
    <row r="56" ht="22.5" customHeight="1">
      <c r="A56" s="20">
        <v>46089.049147743055</v>
      </c>
      <c r="B56" s="15" t="s">
        <v>267</v>
      </c>
      <c r="C56" s="15" t="s">
        <v>268</v>
      </c>
      <c r="D56" s="21" t="s">
        <v>269</v>
      </c>
      <c r="E56" s="15" t="s">
        <v>267</v>
      </c>
      <c r="F56" s="15" t="s">
        <v>47</v>
      </c>
      <c r="G56" s="15" t="s">
        <v>21</v>
      </c>
      <c r="H56" s="15" t="s">
        <v>37</v>
      </c>
      <c r="I56" s="22" t="s">
        <v>270</v>
      </c>
      <c r="J56" s="37">
        <f t="shared" si="5"/>
        <v>165</v>
      </c>
      <c r="L56" s="3"/>
      <c r="N56" s="3"/>
    </row>
    <row r="57" ht="22.5" customHeight="1">
      <c r="A57" s="20">
        <v>46089.057368124995</v>
      </c>
      <c r="B57" s="15" t="s">
        <v>271</v>
      </c>
      <c r="C57" s="15" t="s">
        <v>272</v>
      </c>
      <c r="D57" s="38">
        <v>1.113681748E9</v>
      </c>
      <c r="E57" s="15" t="s">
        <v>271</v>
      </c>
      <c r="F57" s="15" t="s">
        <v>47</v>
      </c>
      <c r="G57" s="15" t="s">
        <v>21</v>
      </c>
      <c r="H57" s="15" t="s">
        <v>15</v>
      </c>
      <c r="I57" s="22" t="s">
        <v>273</v>
      </c>
      <c r="J57" s="37">
        <f t="shared" si="5"/>
        <v>165</v>
      </c>
      <c r="L57" s="3"/>
      <c r="N57" s="3"/>
    </row>
    <row r="58" ht="22.5" customHeight="1">
      <c r="A58" s="20">
        <v>46089.091418634256</v>
      </c>
      <c r="B58" s="15" t="s">
        <v>274</v>
      </c>
      <c r="C58" s="15" t="s">
        <v>275</v>
      </c>
      <c r="D58" s="21" t="s">
        <v>276</v>
      </c>
      <c r="E58" s="15" t="s">
        <v>274</v>
      </c>
      <c r="F58" s="15" t="s">
        <v>13</v>
      </c>
      <c r="G58" s="15" t="s">
        <v>21</v>
      </c>
      <c r="H58" s="15" t="s">
        <v>15</v>
      </c>
      <c r="I58" s="22" t="s">
        <v>277</v>
      </c>
      <c r="J58" s="37">
        <f t="shared" si="5"/>
        <v>165</v>
      </c>
      <c r="L58" s="3"/>
      <c r="N58" s="3"/>
    </row>
    <row r="59" ht="22.5" customHeight="1">
      <c r="A59" s="20">
        <v>46089.09614234953</v>
      </c>
      <c r="B59" s="15" t="s">
        <v>278</v>
      </c>
      <c r="C59" s="15" t="s">
        <v>279</v>
      </c>
      <c r="D59" s="21" t="s">
        <v>280</v>
      </c>
      <c r="E59" s="15" t="s">
        <v>281</v>
      </c>
      <c r="F59" s="15" t="s">
        <v>65</v>
      </c>
      <c r="G59" s="15" t="s">
        <v>221</v>
      </c>
      <c r="H59" s="15" t="s">
        <v>15</v>
      </c>
      <c r="I59" s="22" t="s">
        <v>282</v>
      </c>
      <c r="J59" s="37">
        <f t="shared" si="5"/>
        <v>30</v>
      </c>
      <c r="L59" s="3"/>
      <c r="N59" s="3"/>
    </row>
    <row r="60" ht="22.5" customHeight="1">
      <c r="A60" s="20">
        <v>46089.10935596065</v>
      </c>
      <c r="B60" s="15" t="s">
        <v>283</v>
      </c>
      <c r="C60" s="15" t="s">
        <v>284</v>
      </c>
      <c r="D60" s="21" t="s">
        <v>285</v>
      </c>
      <c r="E60" s="15" t="s">
        <v>283</v>
      </c>
      <c r="F60" s="15" t="s">
        <v>47</v>
      </c>
      <c r="G60" s="15" t="s">
        <v>14</v>
      </c>
      <c r="H60" s="15" t="s">
        <v>37</v>
      </c>
      <c r="I60" s="22" t="s">
        <v>286</v>
      </c>
      <c r="J60" s="37">
        <f t="shared" si="5"/>
        <v>175</v>
      </c>
      <c r="L60" s="3"/>
      <c r="N60" s="3"/>
    </row>
    <row r="61" ht="22.5" customHeight="1">
      <c r="A61" s="20">
        <v>46089.11204315972</v>
      </c>
      <c r="B61" s="15" t="s">
        <v>287</v>
      </c>
      <c r="C61" s="23" t="s">
        <v>288</v>
      </c>
      <c r="D61" s="21" t="s">
        <v>289</v>
      </c>
      <c r="E61" s="15" t="s">
        <v>287</v>
      </c>
      <c r="F61" s="15" t="s">
        <v>47</v>
      </c>
      <c r="G61" s="15" t="s">
        <v>221</v>
      </c>
      <c r="H61" s="15" t="s">
        <v>37</v>
      </c>
      <c r="I61" s="22" t="s">
        <v>290</v>
      </c>
      <c r="J61" s="37">
        <f t="shared" si="5"/>
        <v>30</v>
      </c>
      <c r="L61" s="3"/>
      <c r="N61" s="3"/>
    </row>
    <row r="62" ht="22.5" customHeight="1">
      <c r="A62" s="20">
        <v>46089.11636493055</v>
      </c>
      <c r="B62" s="15" t="s">
        <v>291</v>
      </c>
      <c r="C62" s="15" t="s">
        <v>292</v>
      </c>
      <c r="D62" s="21" t="s">
        <v>293</v>
      </c>
      <c r="E62" s="15" t="s">
        <v>291</v>
      </c>
      <c r="F62" s="15" t="s">
        <v>47</v>
      </c>
      <c r="G62" s="15" t="s">
        <v>14</v>
      </c>
      <c r="H62" s="15" t="s">
        <v>37</v>
      </c>
      <c r="I62" s="22" t="s">
        <v>294</v>
      </c>
      <c r="J62" s="37">
        <f t="shared" si="5"/>
        <v>175</v>
      </c>
      <c r="L62" s="3"/>
      <c r="N62" s="3"/>
    </row>
    <row r="63" ht="22.5" customHeight="1">
      <c r="A63" s="20">
        <v>46089.119919282406</v>
      </c>
      <c r="B63" s="15" t="s">
        <v>295</v>
      </c>
      <c r="C63" s="15" t="s">
        <v>296</v>
      </c>
      <c r="D63" s="21" t="s">
        <v>297</v>
      </c>
      <c r="E63" s="15" t="s">
        <v>295</v>
      </c>
      <c r="F63" s="15" t="s">
        <v>47</v>
      </c>
      <c r="G63" s="15" t="s">
        <v>21</v>
      </c>
      <c r="H63" s="15" t="s">
        <v>37</v>
      </c>
      <c r="I63" s="22" t="s">
        <v>298</v>
      </c>
      <c r="J63" s="37">
        <f t="shared" si="5"/>
        <v>165</v>
      </c>
      <c r="L63" s="3"/>
      <c r="N63" s="3"/>
    </row>
    <row r="64" ht="22.5" customHeight="1">
      <c r="A64" s="20">
        <v>46089.16601231482</v>
      </c>
      <c r="B64" s="15" t="s">
        <v>299</v>
      </c>
      <c r="C64" s="15" t="s">
        <v>300</v>
      </c>
      <c r="D64" s="21" t="s">
        <v>301</v>
      </c>
      <c r="E64" s="15" t="s">
        <v>299</v>
      </c>
      <c r="F64" s="15" t="s">
        <v>47</v>
      </c>
      <c r="G64" s="15" t="s">
        <v>27</v>
      </c>
      <c r="H64" s="15" t="s">
        <v>37</v>
      </c>
      <c r="I64" s="22" t="s">
        <v>302</v>
      </c>
      <c r="J64" s="37">
        <f t="shared" si="5"/>
        <v>180</v>
      </c>
      <c r="L64" s="3"/>
      <c r="N64" s="3"/>
    </row>
    <row r="65" ht="22.5" customHeight="1">
      <c r="A65" s="20">
        <v>46089.32618905093</v>
      </c>
      <c r="B65" s="15" t="s">
        <v>303</v>
      </c>
      <c r="C65" s="15" t="s">
        <v>304</v>
      </c>
      <c r="D65" s="21" t="s">
        <v>305</v>
      </c>
      <c r="E65" s="15" t="s">
        <v>303</v>
      </c>
      <c r="F65" s="15" t="s">
        <v>89</v>
      </c>
      <c r="G65" s="15" t="s">
        <v>27</v>
      </c>
      <c r="H65" s="15" t="s">
        <v>15</v>
      </c>
      <c r="I65" s="22" t="s">
        <v>306</v>
      </c>
      <c r="J65" s="37">
        <f t="shared" si="5"/>
        <v>180</v>
      </c>
      <c r="L65" s="3"/>
      <c r="N65" s="3"/>
    </row>
    <row r="66" ht="22.5" customHeight="1">
      <c r="A66" s="20">
        <v>46089.376595532405</v>
      </c>
      <c r="B66" s="15" t="s">
        <v>307</v>
      </c>
      <c r="C66" s="15" t="s">
        <v>308</v>
      </c>
      <c r="D66" s="21" t="s">
        <v>309</v>
      </c>
      <c r="E66" s="15" t="s">
        <v>307</v>
      </c>
      <c r="F66" s="15" t="s">
        <v>65</v>
      </c>
      <c r="G66" s="15" t="s">
        <v>14</v>
      </c>
      <c r="H66" s="15" t="s">
        <v>15</v>
      </c>
      <c r="I66" s="22" t="s">
        <v>310</v>
      </c>
      <c r="J66" s="37">
        <f t="shared" si="5"/>
        <v>175</v>
      </c>
      <c r="L66" s="3"/>
      <c r="N66" s="3"/>
    </row>
    <row r="67" ht="22.5" customHeight="1">
      <c r="A67" s="20">
        <v>46089.42849637731</v>
      </c>
      <c r="B67" s="15" t="s">
        <v>311</v>
      </c>
      <c r="C67" s="15" t="s">
        <v>312</v>
      </c>
      <c r="D67" s="21" t="s">
        <v>313</v>
      </c>
      <c r="E67" s="15" t="s">
        <v>311</v>
      </c>
      <c r="F67" s="15" t="s">
        <v>20</v>
      </c>
      <c r="G67" s="15" t="s">
        <v>133</v>
      </c>
      <c r="H67" s="15" t="s">
        <v>15</v>
      </c>
      <c r="I67" s="22" t="s">
        <v>314</v>
      </c>
      <c r="J67" s="37">
        <f t="shared" si="5"/>
        <v>70</v>
      </c>
      <c r="L67" s="3"/>
      <c r="N67" s="3"/>
    </row>
    <row r="68" ht="22.5" customHeight="1">
      <c r="A68" s="20">
        <v>46089.445916481476</v>
      </c>
      <c r="B68" s="15" t="s">
        <v>315</v>
      </c>
      <c r="C68" s="15" t="s">
        <v>316</v>
      </c>
      <c r="D68" s="21" t="s">
        <v>317</v>
      </c>
      <c r="E68" s="15" t="s">
        <v>315</v>
      </c>
      <c r="F68" s="15" t="s">
        <v>89</v>
      </c>
      <c r="G68" s="15" t="s">
        <v>21</v>
      </c>
      <c r="H68" s="15" t="s">
        <v>15</v>
      </c>
      <c r="I68" s="22" t="s">
        <v>318</v>
      </c>
      <c r="J68" s="37">
        <f t="shared" si="5"/>
        <v>165</v>
      </c>
      <c r="L68" s="3"/>
      <c r="N68" s="3"/>
    </row>
    <row r="69" ht="22.5" customHeight="1">
      <c r="A69" s="20">
        <v>46089.506544965276</v>
      </c>
      <c r="B69" s="15" t="s">
        <v>319</v>
      </c>
      <c r="C69" s="15" t="s">
        <v>320</v>
      </c>
      <c r="D69" s="21" t="s">
        <v>321</v>
      </c>
      <c r="E69" s="15" t="s">
        <v>319</v>
      </c>
      <c r="F69" s="15" t="s">
        <v>65</v>
      </c>
      <c r="G69" s="15" t="s">
        <v>21</v>
      </c>
      <c r="H69" s="15" t="s">
        <v>15</v>
      </c>
      <c r="I69" s="22" t="s">
        <v>322</v>
      </c>
      <c r="J69" s="37">
        <f t="shared" si="5"/>
        <v>165</v>
      </c>
      <c r="L69" s="3"/>
      <c r="N69" s="3"/>
    </row>
    <row r="70" ht="22.5" customHeight="1">
      <c r="A70" s="20">
        <v>46089.53423715278</v>
      </c>
      <c r="B70" s="15" t="s">
        <v>323</v>
      </c>
      <c r="C70" s="15" t="s">
        <v>324</v>
      </c>
      <c r="D70" s="21" t="s">
        <v>325</v>
      </c>
      <c r="E70" s="15" t="s">
        <v>323</v>
      </c>
      <c r="F70" s="15" t="s">
        <v>41</v>
      </c>
      <c r="G70" s="15" t="s">
        <v>114</v>
      </c>
      <c r="H70" s="15" t="s">
        <v>15</v>
      </c>
      <c r="I70" s="22" t="s">
        <v>326</v>
      </c>
      <c r="J70" s="37">
        <f t="shared" si="5"/>
        <v>220</v>
      </c>
      <c r="L70" s="3"/>
      <c r="N70" s="3"/>
    </row>
    <row r="71" ht="22.5" customHeight="1">
      <c r="A71" s="20">
        <v>46089.536584409725</v>
      </c>
      <c r="B71" s="15" t="s">
        <v>327</v>
      </c>
      <c r="C71" s="15" t="s">
        <v>328</v>
      </c>
      <c r="D71" s="21" t="s">
        <v>329</v>
      </c>
      <c r="E71" s="15" t="s">
        <v>327</v>
      </c>
      <c r="F71" s="15" t="s">
        <v>20</v>
      </c>
      <c r="G71" s="15" t="s">
        <v>21</v>
      </c>
      <c r="H71" s="15" t="s">
        <v>37</v>
      </c>
      <c r="I71" s="22" t="s">
        <v>330</v>
      </c>
      <c r="J71" s="37">
        <f t="shared" si="5"/>
        <v>165</v>
      </c>
      <c r="L71" s="3"/>
      <c r="N71" s="3"/>
    </row>
    <row r="72" ht="22.5" customHeight="1">
      <c r="A72" s="20">
        <v>46089.546608530094</v>
      </c>
      <c r="B72" s="15" t="s">
        <v>331</v>
      </c>
      <c r="C72" s="15" t="s">
        <v>332</v>
      </c>
      <c r="D72" s="38" t="s">
        <v>333</v>
      </c>
      <c r="E72" s="15" t="s">
        <v>334</v>
      </c>
      <c r="F72" s="15" t="s">
        <v>41</v>
      </c>
      <c r="G72" s="15" t="s">
        <v>27</v>
      </c>
      <c r="H72" s="15" t="s">
        <v>15</v>
      </c>
      <c r="I72" s="22" t="s">
        <v>335</v>
      </c>
      <c r="J72" s="37">
        <f t="shared" si="5"/>
        <v>180</v>
      </c>
      <c r="L72" s="3"/>
      <c r="N72" s="3"/>
    </row>
    <row r="73" ht="22.5" customHeight="1">
      <c r="A73" s="20">
        <v>46089.54782078703</v>
      </c>
      <c r="B73" s="15" t="s">
        <v>336</v>
      </c>
      <c r="C73" s="15" t="s">
        <v>337</v>
      </c>
      <c r="D73" s="21" t="s">
        <v>338</v>
      </c>
      <c r="E73" s="15" t="s">
        <v>336</v>
      </c>
      <c r="F73" s="15" t="s">
        <v>41</v>
      </c>
      <c r="G73" s="15" t="s">
        <v>21</v>
      </c>
      <c r="H73" s="15" t="s">
        <v>15</v>
      </c>
      <c r="I73" s="22" t="s">
        <v>339</v>
      </c>
      <c r="J73" s="37">
        <f t="shared" si="5"/>
        <v>165</v>
      </c>
      <c r="L73" s="3"/>
      <c r="N73" s="3"/>
    </row>
    <row r="74" ht="22.5" customHeight="1">
      <c r="A74" s="20">
        <v>46089.56309887732</v>
      </c>
      <c r="B74" s="15" t="s">
        <v>340</v>
      </c>
      <c r="C74" s="15" t="s">
        <v>341</v>
      </c>
      <c r="D74" s="21" t="s">
        <v>342</v>
      </c>
      <c r="E74" s="15" t="s">
        <v>340</v>
      </c>
      <c r="F74" s="15" t="s">
        <v>47</v>
      </c>
      <c r="G74" s="15" t="s">
        <v>21</v>
      </c>
      <c r="H74" s="15" t="s">
        <v>55</v>
      </c>
      <c r="I74" s="22" t="s">
        <v>343</v>
      </c>
      <c r="J74" s="37">
        <f t="shared" si="5"/>
        <v>165</v>
      </c>
      <c r="L74" s="3"/>
      <c r="N74" s="3"/>
    </row>
    <row r="75" ht="22.5" customHeight="1">
      <c r="A75" s="20">
        <v>46089.566574756944</v>
      </c>
      <c r="B75" s="15" t="s">
        <v>344</v>
      </c>
      <c r="C75" s="23" t="s">
        <v>345</v>
      </c>
      <c r="D75" s="21" t="s">
        <v>346</v>
      </c>
      <c r="E75" s="15" t="s">
        <v>344</v>
      </c>
      <c r="F75" s="15" t="s">
        <v>20</v>
      </c>
      <c r="G75" s="15" t="s">
        <v>21</v>
      </c>
      <c r="H75" s="15" t="s">
        <v>15</v>
      </c>
      <c r="I75" s="22" t="s">
        <v>347</v>
      </c>
      <c r="J75" s="37">
        <f t="shared" si="5"/>
        <v>165</v>
      </c>
      <c r="L75" s="3"/>
      <c r="N75" s="3"/>
    </row>
    <row r="76" ht="22.5" customHeight="1">
      <c r="A76" s="20">
        <v>46089.5766115625</v>
      </c>
      <c r="B76" s="15" t="s">
        <v>348</v>
      </c>
      <c r="C76" s="15" t="s">
        <v>349</v>
      </c>
      <c r="D76" s="21" t="s">
        <v>350</v>
      </c>
      <c r="E76" s="15" t="s">
        <v>348</v>
      </c>
      <c r="F76" s="15" t="s">
        <v>47</v>
      </c>
      <c r="G76" s="15" t="s">
        <v>27</v>
      </c>
      <c r="H76" s="15" t="s">
        <v>37</v>
      </c>
      <c r="I76" s="22" t="s">
        <v>351</v>
      </c>
      <c r="J76" s="37">
        <f t="shared" si="5"/>
        <v>180</v>
      </c>
      <c r="L76" s="3"/>
      <c r="N76" s="3"/>
    </row>
    <row r="77" ht="22.5" customHeight="1">
      <c r="A77" s="20">
        <v>46089.57992916666</v>
      </c>
      <c r="B77" s="15" t="s">
        <v>352</v>
      </c>
      <c r="C77" s="15" t="s">
        <v>353</v>
      </c>
      <c r="D77" s="21" t="s">
        <v>354</v>
      </c>
      <c r="E77" s="15" t="s">
        <v>355</v>
      </c>
      <c r="F77" s="15" t="s">
        <v>47</v>
      </c>
      <c r="G77" s="15" t="s">
        <v>221</v>
      </c>
      <c r="H77" s="15" t="s">
        <v>15</v>
      </c>
      <c r="I77" s="22" t="s">
        <v>356</v>
      </c>
      <c r="J77" s="37">
        <f t="shared" si="5"/>
        <v>30</v>
      </c>
      <c r="L77" s="3"/>
      <c r="N77" s="3"/>
    </row>
    <row r="78" ht="22.5" customHeight="1">
      <c r="A78" s="20">
        <v>46089.58075408565</v>
      </c>
      <c r="B78" s="15" t="s">
        <v>357</v>
      </c>
      <c r="C78" s="15" t="s">
        <v>358</v>
      </c>
      <c r="D78" s="21" t="s">
        <v>359</v>
      </c>
      <c r="E78" s="15" t="s">
        <v>357</v>
      </c>
      <c r="F78" s="15" t="s">
        <v>47</v>
      </c>
      <c r="G78" s="15" t="s">
        <v>14</v>
      </c>
      <c r="H78" s="15" t="s">
        <v>15</v>
      </c>
      <c r="I78" s="22" t="s">
        <v>360</v>
      </c>
      <c r="J78" s="37">
        <f t="shared" si="5"/>
        <v>175</v>
      </c>
      <c r="L78" s="3"/>
      <c r="N78" s="3"/>
    </row>
    <row r="79" ht="22.5" customHeight="1">
      <c r="A79" s="20">
        <v>46089.58105599537</v>
      </c>
      <c r="B79" s="15" t="s">
        <v>361</v>
      </c>
      <c r="C79" s="15" t="s">
        <v>362</v>
      </c>
      <c r="D79" s="21" t="s">
        <v>363</v>
      </c>
      <c r="E79" s="15" t="s">
        <v>361</v>
      </c>
      <c r="F79" s="15" t="s">
        <v>47</v>
      </c>
      <c r="G79" s="15" t="s">
        <v>221</v>
      </c>
      <c r="H79" s="15" t="s">
        <v>15</v>
      </c>
      <c r="I79" s="22" t="s">
        <v>364</v>
      </c>
      <c r="J79" s="37">
        <f t="shared" si="5"/>
        <v>30</v>
      </c>
      <c r="L79" s="3"/>
      <c r="N79" s="3"/>
    </row>
    <row r="80" ht="22.5" customHeight="1">
      <c r="A80" s="20">
        <v>46089.583847835645</v>
      </c>
      <c r="B80" s="15" t="s">
        <v>365</v>
      </c>
      <c r="C80" s="15" t="s">
        <v>366</v>
      </c>
      <c r="D80" s="21" t="s">
        <v>367</v>
      </c>
      <c r="E80" s="15" t="s">
        <v>365</v>
      </c>
      <c r="F80" s="15" t="s">
        <v>47</v>
      </c>
      <c r="G80" s="15" t="s">
        <v>21</v>
      </c>
      <c r="H80" s="15" t="s">
        <v>15</v>
      </c>
      <c r="I80" s="22" t="s">
        <v>368</v>
      </c>
      <c r="J80" s="37">
        <f t="shared" si="5"/>
        <v>165</v>
      </c>
      <c r="L80" s="3"/>
      <c r="N80" s="3"/>
    </row>
    <row r="81" ht="22.5" customHeight="1">
      <c r="A81" s="20">
        <v>46089.59606311342</v>
      </c>
      <c r="B81" s="15" t="s">
        <v>369</v>
      </c>
      <c r="C81" s="15" t="s">
        <v>370</v>
      </c>
      <c r="D81" s="21" t="s">
        <v>371</v>
      </c>
      <c r="E81" s="15" t="s">
        <v>369</v>
      </c>
      <c r="F81" s="15" t="s">
        <v>20</v>
      </c>
      <c r="G81" s="15" t="s">
        <v>27</v>
      </c>
      <c r="H81" s="15" t="s">
        <v>37</v>
      </c>
      <c r="I81" s="22" t="s">
        <v>372</v>
      </c>
      <c r="J81" s="37">
        <f t="shared" si="5"/>
        <v>180</v>
      </c>
      <c r="L81" s="3"/>
      <c r="N81" s="3"/>
    </row>
    <row r="82" ht="22.5" customHeight="1">
      <c r="A82" s="20">
        <v>46089.61167114583</v>
      </c>
      <c r="B82" s="15" t="s">
        <v>373</v>
      </c>
      <c r="C82" s="15" t="s">
        <v>374</v>
      </c>
      <c r="D82" s="21" t="s">
        <v>375</v>
      </c>
      <c r="E82" s="15" t="s">
        <v>373</v>
      </c>
      <c r="F82" s="15" t="s">
        <v>20</v>
      </c>
      <c r="G82" s="15" t="s">
        <v>27</v>
      </c>
      <c r="H82" s="15" t="s">
        <v>15</v>
      </c>
      <c r="I82" s="22" t="s">
        <v>376</v>
      </c>
      <c r="J82" s="37">
        <f t="shared" si="5"/>
        <v>180</v>
      </c>
      <c r="L82" s="3"/>
      <c r="N82" s="3"/>
    </row>
    <row r="83" ht="22.5" customHeight="1">
      <c r="A83" s="20">
        <v>46089.61214118055</v>
      </c>
      <c r="B83" s="15" t="s">
        <v>377</v>
      </c>
      <c r="C83" s="23" t="s">
        <v>378</v>
      </c>
      <c r="D83" s="21" t="s">
        <v>379</v>
      </c>
      <c r="E83" s="15" t="s">
        <v>377</v>
      </c>
      <c r="F83" s="15" t="s">
        <v>20</v>
      </c>
      <c r="G83" s="15" t="s">
        <v>14</v>
      </c>
      <c r="H83" s="15" t="s">
        <v>15</v>
      </c>
      <c r="I83" s="22" t="s">
        <v>380</v>
      </c>
      <c r="J83" s="37">
        <f t="shared" si="5"/>
        <v>175</v>
      </c>
      <c r="L83" s="3"/>
      <c r="N83" s="3"/>
    </row>
    <row r="84" ht="22.5" customHeight="1">
      <c r="A84" s="20">
        <v>46089.618587881945</v>
      </c>
      <c r="B84" s="15" t="s">
        <v>381</v>
      </c>
      <c r="C84" s="15" t="s">
        <v>382</v>
      </c>
      <c r="D84" s="21" t="s">
        <v>383</v>
      </c>
      <c r="E84" s="15" t="s">
        <v>381</v>
      </c>
      <c r="F84" s="15" t="s">
        <v>41</v>
      </c>
      <c r="G84" s="15" t="s">
        <v>27</v>
      </c>
      <c r="H84" s="15" t="s">
        <v>15</v>
      </c>
      <c r="I84" s="22" t="s">
        <v>384</v>
      </c>
      <c r="J84" s="37">
        <f t="shared" si="5"/>
        <v>180</v>
      </c>
      <c r="L84" s="3"/>
      <c r="N84" s="3"/>
    </row>
    <row r="85" ht="22.5" customHeight="1">
      <c r="A85" s="20">
        <v>46089.62928364583</v>
      </c>
      <c r="B85" s="15" t="s">
        <v>385</v>
      </c>
      <c r="C85" s="15" t="s">
        <v>386</v>
      </c>
      <c r="D85" s="21" t="s">
        <v>387</v>
      </c>
      <c r="E85" s="15" t="s">
        <v>385</v>
      </c>
      <c r="F85" s="15" t="s">
        <v>65</v>
      </c>
      <c r="G85" s="15" t="s">
        <v>14</v>
      </c>
      <c r="H85" s="15" t="s">
        <v>15</v>
      </c>
      <c r="I85" s="22" t="s">
        <v>388</v>
      </c>
      <c r="J85" s="37">
        <f t="shared" si="5"/>
        <v>175</v>
      </c>
      <c r="L85" s="3"/>
      <c r="N85" s="3"/>
    </row>
    <row r="86" ht="22.5" customHeight="1">
      <c r="A86" s="20">
        <v>46089.629818113426</v>
      </c>
      <c r="B86" s="15" t="s">
        <v>389</v>
      </c>
      <c r="C86" s="15" t="s">
        <v>390</v>
      </c>
      <c r="D86" s="21" t="s">
        <v>391</v>
      </c>
      <c r="E86" s="15" t="s">
        <v>389</v>
      </c>
      <c r="F86" s="15" t="s">
        <v>20</v>
      </c>
      <c r="G86" s="15" t="s">
        <v>133</v>
      </c>
      <c r="H86" s="15" t="s">
        <v>15</v>
      </c>
      <c r="I86" s="22" t="s">
        <v>392</v>
      </c>
      <c r="J86" s="37">
        <f t="shared" si="5"/>
        <v>70</v>
      </c>
      <c r="L86" s="3"/>
      <c r="N86" s="3"/>
    </row>
    <row r="87" ht="22.5" customHeight="1">
      <c r="A87" s="20">
        <v>46089.63096577546</v>
      </c>
      <c r="B87" s="15" t="s">
        <v>393</v>
      </c>
      <c r="C87" s="15" t="s">
        <v>394</v>
      </c>
      <c r="D87" s="21" t="s">
        <v>395</v>
      </c>
      <c r="E87" s="15" t="s">
        <v>393</v>
      </c>
      <c r="F87" s="15" t="s">
        <v>13</v>
      </c>
      <c r="G87" s="15" t="s">
        <v>21</v>
      </c>
      <c r="H87" s="15" t="s">
        <v>55</v>
      </c>
      <c r="I87" s="22" t="s">
        <v>396</v>
      </c>
      <c r="J87" s="37">
        <f t="shared" si="5"/>
        <v>165</v>
      </c>
      <c r="L87" s="3"/>
      <c r="N87" s="3"/>
    </row>
    <row r="88" ht="22.5" customHeight="1">
      <c r="A88" s="20">
        <v>46089.63880988426</v>
      </c>
      <c r="B88" s="15" t="s">
        <v>397</v>
      </c>
      <c r="C88" s="15" t="s">
        <v>398</v>
      </c>
      <c r="D88" s="21" t="s">
        <v>399</v>
      </c>
      <c r="E88" s="15" t="s">
        <v>397</v>
      </c>
      <c r="F88" s="15" t="s">
        <v>65</v>
      </c>
      <c r="G88" s="15" t="s">
        <v>21</v>
      </c>
      <c r="H88" s="15" t="s">
        <v>15</v>
      </c>
      <c r="I88" s="22" t="s">
        <v>400</v>
      </c>
      <c r="J88" s="37">
        <f t="shared" si="5"/>
        <v>165</v>
      </c>
      <c r="L88" s="3"/>
      <c r="N88" s="3"/>
    </row>
    <row r="89" ht="22.5" customHeight="1">
      <c r="A89" s="20">
        <v>46089.651985324075</v>
      </c>
      <c r="B89" s="15" t="s">
        <v>401</v>
      </c>
      <c r="C89" s="15" t="s">
        <v>402</v>
      </c>
      <c r="D89" s="21" t="s">
        <v>403</v>
      </c>
      <c r="E89" s="15" t="s">
        <v>401</v>
      </c>
      <c r="F89" s="15" t="s">
        <v>47</v>
      </c>
      <c r="G89" s="15" t="s">
        <v>221</v>
      </c>
      <c r="H89" s="15" t="s">
        <v>15</v>
      </c>
      <c r="I89" s="22" t="s">
        <v>404</v>
      </c>
      <c r="J89" s="37">
        <f t="shared" si="5"/>
        <v>30</v>
      </c>
      <c r="L89" s="3"/>
      <c r="N89" s="3"/>
    </row>
    <row r="90" ht="22.5" customHeight="1">
      <c r="A90" s="20">
        <v>46089.654373576384</v>
      </c>
      <c r="B90" s="15" t="s">
        <v>405</v>
      </c>
      <c r="C90" s="15" t="s">
        <v>406</v>
      </c>
      <c r="D90" s="21" t="s">
        <v>407</v>
      </c>
      <c r="E90" s="15" t="s">
        <v>408</v>
      </c>
      <c r="F90" s="15" t="s">
        <v>65</v>
      </c>
      <c r="G90" s="15" t="s">
        <v>133</v>
      </c>
      <c r="H90" s="15" t="s">
        <v>37</v>
      </c>
      <c r="I90" s="22" t="s">
        <v>409</v>
      </c>
      <c r="J90" s="37">
        <f t="shared" si="5"/>
        <v>70</v>
      </c>
      <c r="L90" s="3"/>
      <c r="N90" s="3"/>
    </row>
    <row r="91" ht="22.5" customHeight="1">
      <c r="A91" s="20">
        <v>46089.660476018515</v>
      </c>
      <c r="B91" s="15" t="s">
        <v>410</v>
      </c>
      <c r="C91" s="15" t="s">
        <v>411</v>
      </c>
      <c r="D91" s="21" t="s">
        <v>412</v>
      </c>
      <c r="E91" s="15" t="s">
        <v>410</v>
      </c>
      <c r="F91" s="15" t="s">
        <v>65</v>
      </c>
      <c r="G91" s="15" t="s">
        <v>21</v>
      </c>
      <c r="H91" s="15" t="s">
        <v>15</v>
      </c>
      <c r="I91" s="22" t="s">
        <v>413</v>
      </c>
      <c r="J91" s="37">
        <f t="shared" si="5"/>
        <v>165</v>
      </c>
      <c r="L91" s="3"/>
      <c r="N91" s="3"/>
    </row>
    <row r="92" ht="22.5" customHeight="1">
      <c r="A92" s="20">
        <v>46089.66078803241</v>
      </c>
      <c r="B92" s="15" t="s">
        <v>414</v>
      </c>
      <c r="C92" s="15" t="s">
        <v>415</v>
      </c>
      <c r="D92" s="21" t="s">
        <v>416</v>
      </c>
      <c r="E92" s="15" t="s">
        <v>417</v>
      </c>
      <c r="F92" s="15" t="s">
        <v>20</v>
      </c>
      <c r="G92" s="15" t="s">
        <v>114</v>
      </c>
      <c r="H92" s="15" t="s">
        <v>15</v>
      </c>
      <c r="I92" s="22" t="s">
        <v>418</v>
      </c>
      <c r="J92" s="37">
        <f t="shared" si="5"/>
        <v>220</v>
      </c>
      <c r="L92" s="3"/>
      <c r="N92" s="3"/>
    </row>
    <row r="93" ht="22.5" customHeight="1">
      <c r="A93" s="20">
        <v>46089.66227295139</v>
      </c>
      <c r="B93" s="15" t="s">
        <v>419</v>
      </c>
      <c r="C93" s="23" t="s">
        <v>420</v>
      </c>
      <c r="D93" s="21" t="s">
        <v>421</v>
      </c>
      <c r="E93" s="15" t="s">
        <v>419</v>
      </c>
      <c r="F93" s="15" t="s">
        <v>20</v>
      </c>
      <c r="G93" s="15" t="s">
        <v>14</v>
      </c>
      <c r="H93" s="15" t="s">
        <v>15</v>
      </c>
      <c r="I93" s="22" t="s">
        <v>422</v>
      </c>
      <c r="J93" s="37">
        <f t="shared" si="5"/>
        <v>175</v>
      </c>
      <c r="L93" s="3"/>
      <c r="N93" s="3"/>
    </row>
    <row r="94" ht="22.5" customHeight="1">
      <c r="A94" s="20">
        <v>46089.663811018516</v>
      </c>
      <c r="B94" s="15" t="s">
        <v>423</v>
      </c>
      <c r="C94" s="15" t="s">
        <v>424</v>
      </c>
      <c r="D94" s="21" t="s">
        <v>425</v>
      </c>
      <c r="E94" s="15" t="s">
        <v>426</v>
      </c>
      <c r="F94" s="15" t="s">
        <v>41</v>
      </c>
      <c r="G94" s="15" t="s">
        <v>221</v>
      </c>
      <c r="H94" s="15" t="s">
        <v>55</v>
      </c>
      <c r="I94" s="22" t="s">
        <v>427</v>
      </c>
      <c r="J94" s="37">
        <f t="shared" si="5"/>
        <v>30</v>
      </c>
      <c r="L94" s="3"/>
      <c r="N94" s="3"/>
    </row>
    <row r="95" ht="22.5" customHeight="1">
      <c r="A95" s="20">
        <v>46089.66588017361</v>
      </c>
      <c r="B95" s="15" t="s">
        <v>428</v>
      </c>
      <c r="C95" s="15" t="s">
        <v>429</v>
      </c>
      <c r="D95" s="21" t="s">
        <v>430</v>
      </c>
      <c r="E95" s="15" t="s">
        <v>428</v>
      </c>
      <c r="F95" s="15" t="s">
        <v>47</v>
      </c>
      <c r="G95" s="15" t="s">
        <v>221</v>
      </c>
      <c r="H95" s="15" t="s">
        <v>15</v>
      </c>
      <c r="I95" s="22" t="s">
        <v>431</v>
      </c>
      <c r="J95" s="37">
        <f t="shared" si="5"/>
        <v>30</v>
      </c>
      <c r="L95" s="3"/>
      <c r="N95" s="3"/>
    </row>
    <row r="96" ht="22.5" customHeight="1">
      <c r="A96" s="20">
        <v>46089.666908125</v>
      </c>
      <c r="B96" s="15" t="s">
        <v>432</v>
      </c>
      <c r="C96" s="15" t="s">
        <v>433</v>
      </c>
      <c r="D96" s="21" t="s">
        <v>434</v>
      </c>
      <c r="E96" s="15" t="s">
        <v>432</v>
      </c>
      <c r="F96" s="15" t="s">
        <v>47</v>
      </c>
      <c r="G96" s="15" t="s">
        <v>221</v>
      </c>
      <c r="H96" s="15" t="s">
        <v>15</v>
      </c>
      <c r="I96" s="22" t="s">
        <v>435</v>
      </c>
      <c r="J96" s="37">
        <f t="shared" si="5"/>
        <v>30</v>
      </c>
      <c r="L96" s="3"/>
      <c r="N96" s="3"/>
    </row>
    <row r="97" ht="22.5" customHeight="1">
      <c r="A97" s="20">
        <v>46089.672962384255</v>
      </c>
      <c r="B97" s="15" t="s">
        <v>436</v>
      </c>
      <c r="C97" s="15" t="s">
        <v>437</v>
      </c>
      <c r="D97" s="21" t="s">
        <v>438</v>
      </c>
      <c r="E97" s="15" t="s">
        <v>439</v>
      </c>
      <c r="F97" s="15" t="s">
        <v>65</v>
      </c>
      <c r="G97" s="15" t="s">
        <v>14</v>
      </c>
      <c r="H97" s="15" t="s">
        <v>15</v>
      </c>
      <c r="I97" s="22" t="s">
        <v>440</v>
      </c>
      <c r="J97" s="37">
        <f t="shared" si="5"/>
        <v>175</v>
      </c>
      <c r="L97" s="3"/>
      <c r="N97" s="3"/>
    </row>
    <row r="98" ht="22.5" customHeight="1">
      <c r="A98" s="20">
        <v>46089.67297951389</v>
      </c>
      <c r="B98" s="15" t="s">
        <v>441</v>
      </c>
      <c r="C98" s="15" t="s">
        <v>441</v>
      </c>
      <c r="D98" s="21" t="s">
        <v>442</v>
      </c>
      <c r="E98" s="15" t="s">
        <v>441</v>
      </c>
      <c r="F98" s="15" t="s">
        <v>65</v>
      </c>
      <c r="G98" s="15" t="s">
        <v>21</v>
      </c>
      <c r="H98" s="15" t="s">
        <v>15</v>
      </c>
      <c r="I98" s="22" t="s">
        <v>443</v>
      </c>
      <c r="J98" s="37">
        <f t="shared" si="5"/>
        <v>165</v>
      </c>
      <c r="L98" s="3"/>
      <c r="N98" s="3"/>
    </row>
    <row r="99" ht="22.5" customHeight="1">
      <c r="A99" s="20">
        <v>46089.67400385417</v>
      </c>
      <c r="B99" s="15" t="s">
        <v>444</v>
      </c>
      <c r="C99" s="15" t="s">
        <v>445</v>
      </c>
      <c r="D99" s="21" t="s">
        <v>446</v>
      </c>
      <c r="E99" s="15" t="s">
        <v>444</v>
      </c>
      <c r="F99" s="15" t="s">
        <v>47</v>
      </c>
      <c r="G99" s="15" t="s">
        <v>221</v>
      </c>
      <c r="H99" s="15" t="s">
        <v>55</v>
      </c>
      <c r="I99" s="22" t="s">
        <v>447</v>
      </c>
      <c r="J99" s="37">
        <f t="shared" si="5"/>
        <v>30</v>
      </c>
      <c r="L99" s="3"/>
      <c r="N99" s="3"/>
    </row>
    <row r="100" ht="22.5" customHeight="1">
      <c r="A100" s="20">
        <v>46089.674379131946</v>
      </c>
      <c r="B100" s="15" t="s">
        <v>448</v>
      </c>
      <c r="C100" s="15" t="s">
        <v>449</v>
      </c>
      <c r="D100" s="21" t="s">
        <v>450</v>
      </c>
      <c r="E100" s="15" t="s">
        <v>448</v>
      </c>
      <c r="F100" s="15" t="s">
        <v>41</v>
      </c>
      <c r="G100" s="15" t="s">
        <v>114</v>
      </c>
      <c r="H100" s="15" t="s">
        <v>15</v>
      </c>
      <c r="I100" s="22" t="s">
        <v>451</v>
      </c>
      <c r="J100" s="37">
        <f t="shared" si="5"/>
        <v>220</v>
      </c>
      <c r="L100" s="3"/>
      <c r="N100" s="3"/>
    </row>
    <row r="101" ht="22.5" customHeight="1">
      <c r="A101" s="20">
        <v>46089.67700398148</v>
      </c>
      <c r="B101" s="15" t="s">
        <v>452</v>
      </c>
      <c r="C101" s="15" t="s">
        <v>453</v>
      </c>
      <c r="D101" s="21" t="s">
        <v>454</v>
      </c>
      <c r="E101" s="15" t="s">
        <v>452</v>
      </c>
      <c r="F101" s="15" t="s">
        <v>41</v>
      </c>
      <c r="G101" s="15" t="s">
        <v>114</v>
      </c>
      <c r="H101" s="15" t="s">
        <v>15</v>
      </c>
      <c r="I101" s="22" t="s">
        <v>455</v>
      </c>
      <c r="J101" s="37">
        <f t="shared" si="5"/>
        <v>220</v>
      </c>
      <c r="L101" s="3"/>
      <c r="N101" s="3"/>
    </row>
    <row r="102" ht="22.5" customHeight="1">
      <c r="A102" s="20">
        <v>46089.684214733796</v>
      </c>
      <c r="B102" s="15" t="s">
        <v>456</v>
      </c>
      <c r="C102" s="15" t="s">
        <v>457</v>
      </c>
      <c r="D102" s="21" t="s">
        <v>458</v>
      </c>
      <c r="E102" s="15" t="s">
        <v>456</v>
      </c>
      <c r="F102" s="15" t="s">
        <v>13</v>
      </c>
      <c r="G102" s="15" t="s">
        <v>27</v>
      </c>
      <c r="H102" s="15" t="s">
        <v>15</v>
      </c>
      <c r="I102" s="22" t="s">
        <v>459</v>
      </c>
      <c r="J102" s="37">
        <f t="shared" si="5"/>
        <v>180</v>
      </c>
      <c r="L102" s="3"/>
      <c r="N102" s="3"/>
    </row>
    <row r="103" ht="22.5" customHeight="1">
      <c r="A103" s="20">
        <v>46089.68672469907</v>
      </c>
      <c r="B103" s="15" t="s">
        <v>460</v>
      </c>
      <c r="C103" s="15" t="s">
        <v>461</v>
      </c>
      <c r="D103" s="21" t="s">
        <v>462</v>
      </c>
      <c r="E103" s="15" t="s">
        <v>460</v>
      </c>
      <c r="F103" s="15" t="s">
        <v>89</v>
      </c>
      <c r="G103" s="15" t="s">
        <v>27</v>
      </c>
      <c r="H103" s="15" t="s">
        <v>55</v>
      </c>
      <c r="I103" s="22" t="s">
        <v>463</v>
      </c>
      <c r="J103" s="37">
        <f t="shared" si="5"/>
        <v>180</v>
      </c>
      <c r="L103" s="3"/>
      <c r="N103" s="3"/>
    </row>
    <row r="104" ht="22.5" customHeight="1">
      <c r="A104" s="20">
        <v>46089.68835106482</v>
      </c>
      <c r="B104" s="15" t="s">
        <v>464</v>
      </c>
      <c r="C104" s="15" t="s">
        <v>465</v>
      </c>
      <c r="D104" s="21" t="s">
        <v>466</v>
      </c>
      <c r="E104" s="15" t="s">
        <v>464</v>
      </c>
      <c r="F104" s="15" t="s">
        <v>41</v>
      </c>
      <c r="G104" s="15" t="s">
        <v>14</v>
      </c>
      <c r="H104" s="15" t="s">
        <v>15</v>
      </c>
      <c r="I104" s="22" t="s">
        <v>467</v>
      </c>
      <c r="J104" s="37">
        <f t="shared" si="5"/>
        <v>175</v>
      </c>
      <c r="L104" s="3"/>
      <c r="N104" s="3"/>
    </row>
    <row r="105" ht="22.5" customHeight="1">
      <c r="A105" s="20">
        <v>46089.689695381945</v>
      </c>
      <c r="B105" s="15" t="s">
        <v>468</v>
      </c>
      <c r="C105" s="23" t="s">
        <v>469</v>
      </c>
      <c r="D105" s="21" t="s">
        <v>470</v>
      </c>
      <c r="E105" s="15" t="s">
        <v>468</v>
      </c>
      <c r="F105" s="15" t="s">
        <v>41</v>
      </c>
      <c r="G105" s="15" t="s">
        <v>27</v>
      </c>
      <c r="H105" s="15" t="s">
        <v>15</v>
      </c>
      <c r="I105" s="22" t="s">
        <v>471</v>
      </c>
      <c r="J105" s="37">
        <f t="shared" si="5"/>
        <v>180</v>
      </c>
      <c r="L105" s="3"/>
      <c r="N105" s="3"/>
    </row>
    <row r="106" ht="22.5" customHeight="1">
      <c r="A106" s="20">
        <v>46089.69282921296</v>
      </c>
      <c r="B106" s="15" t="s">
        <v>472</v>
      </c>
      <c r="C106" s="15" t="s">
        <v>473</v>
      </c>
      <c r="D106" s="21" t="s">
        <v>474</v>
      </c>
      <c r="E106" s="15" t="s">
        <v>472</v>
      </c>
      <c r="F106" s="15" t="s">
        <v>41</v>
      </c>
      <c r="G106" s="15" t="s">
        <v>114</v>
      </c>
      <c r="H106" s="15" t="s">
        <v>15</v>
      </c>
      <c r="I106" s="22" t="s">
        <v>475</v>
      </c>
      <c r="J106" s="37">
        <f t="shared" si="5"/>
        <v>220</v>
      </c>
      <c r="L106" s="3"/>
      <c r="N106" s="3"/>
    </row>
    <row r="107" ht="22.5" customHeight="1">
      <c r="A107" s="20">
        <v>46089.69669568287</v>
      </c>
      <c r="B107" s="15" t="s">
        <v>476</v>
      </c>
      <c r="C107" s="23" t="s">
        <v>477</v>
      </c>
      <c r="D107" s="21" t="s">
        <v>478</v>
      </c>
      <c r="E107" s="15" t="s">
        <v>476</v>
      </c>
      <c r="F107" s="15" t="s">
        <v>13</v>
      </c>
      <c r="G107" s="15" t="s">
        <v>221</v>
      </c>
      <c r="H107" s="15" t="s">
        <v>15</v>
      </c>
      <c r="I107" s="22" t="s">
        <v>479</v>
      </c>
      <c r="J107" s="37">
        <f t="shared" si="5"/>
        <v>30</v>
      </c>
      <c r="L107" s="3"/>
      <c r="N107" s="3"/>
    </row>
    <row r="108" ht="22.5" customHeight="1">
      <c r="A108" s="20">
        <v>46089.70148293981</v>
      </c>
      <c r="B108" s="15" t="s">
        <v>480</v>
      </c>
      <c r="C108" s="15" t="s">
        <v>481</v>
      </c>
      <c r="D108" s="21" t="s">
        <v>482</v>
      </c>
      <c r="E108" s="15" t="s">
        <v>480</v>
      </c>
      <c r="F108" s="15" t="s">
        <v>41</v>
      </c>
      <c r="G108" s="15" t="s">
        <v>221</v>
      </c>
      <c r="H108" s="15" t="s">
        <v>37</v>
      </c>
      <c r="I108" s="22" t="s">
        <v>483</v>
      </c>
      <c r="J108" s="37">
        <f t="shared" si="5"/>
        <v>30</v>
      </c>
      <c r="L108" s="3"/>
      <c r="N108" s="3"/>
    </row>
    <row r="109" ht="22.5" customHeight="1">
      <c r="A109" s="20">
        <v>46089.702585555555</v>
      </c>
      <c r="B109" s="15" t="s">
        <v>480</v>
      </c>
      <c r="C109" s="15" t="s">
        <v>484</v>
      </c>
      <c r="D109" s="21" t="s">
        <v>482</v>
      </c>
      <c r="E109" s="15" t="s">
        <v>480</v>
      </c>
      <c r="F109" s="15" t="s">
        <v>41</v>
      </c>
      <c r="G109" s="15" t="s">
        <v>221</v>
      </c>
      <c r="H109" s="15" t="s">
        <v>37</v>
      </c>
      <c r="I109" s="22" t="s">
        <v>485</v>
      </c>
      <c r="J109" s="37">
        <f t="shared" si="5"/>
        <v>30</v>
      </c>
      <c r="L109" s="3"/>
      <c r="N109" s="3"/>
    </row>
    <row r="110" ht="22.5" customHeight="1">
      <c r="A110" s="20">
        <v>46089.703485405094</v>
      </c>
      <c r="B110" s="15" t="s">
        <v>480</v>
      </c>
      <c r="C110" s="15" t="s">
        <v>486</v>
      </c>
      <c r="D110" s="21" t="s">
        <v>482</v>
      </c>
      <c r="E110" s="15" t="s">
        <v>480</v>
      </c>
      <c r="F110" s="15" t="s">
        <v>41</v>
      </c>
      <c r="G110" s="15" t="s">
        <v>221</v>
      </c>
      <c r="H110" s="15" t="s">
        <v>37</v>
      </c>
      <c r="I110" s="22" t="s">
        <v>487</v>
      </c>
      <c r="J110" s="37">
        <f t="shared" si="5"/>
        <v>30</v>
      </c>
      <c r="L110" s="3"/>
      <c r="N110" s="3"/>
    </row>
    <row r="111" ht="22.5" customHeight="1">
      <c r="A111" s="20">
        <v>46089.703695335644</v>
      </c>
      <c r="B111" s="15" t="s">
        <v>488</v>
      </c>
      <c r="C111" s="15" t="s">
        <v>489</v>
      </c>
      <c r="D111" s="21" t="s">
        <v>490</v>
      </c>
      <c r="E111" s="15" t="s">
        <v>488</v>
      </c>
      <c r="F111" s="15" t="s">
        <v>41</v>
      </c>
      <c r="G111" s="15" t="s">
        <v>21</v>
      </c>
      <c r="H111" s="15" t="s">
        <v>15</v>
      </c>
      <c r="I111" s="22" t="s">
        <v>491</v>
      </c>
      <c r="J111" s="37">
        <f t="shared" si="5"/>
        <v>165</v>
      </c>
      <c r="L111" s="3"/>
      <c r="N111" s="3"/>
    </row>
    <row r="112" ht="22.5" customHeight="1">
      <c r="A112" s="20">
        <v>46089.703864780095</v>
      </c>
      <c r="B112" s="15" t="s">
        <v>492</v>
      </c>
      <c r="C112" s="23" t="s">
        <v>493</v>
      </c>
      <c r="D112" s="21" t="s">
        <v>494</v>
      </c>
      <c r="E112" s="15" t="s">
        <v>492</v>
      </c>
      <c r="F112" s="15" t="s">
        <v>20</v>
      </c>
      <c r="G112" s="15" t="s">
        <v>21</v>
      </c>
      <c r="H112" s="15" t="s">
        <v>15</v>
      </c>
      <c r="I112" s="22" t="s">
        <v>495</v>
      </c>
      <c r="J112" s="37">
        <f t="shared" si="5"/>
        <v>165</v>
      </c>
      <c r="L112" s="3"/>
      <c r="N112" s="3"/>
    </row>
    <row r="113" ht="22.5" customHeight="1">
      <c r="A113" s="20">
        <v>46089.70403386574</v>
      </c>
      <c r="B113" s="15" t="s">
        <v>496</v>
      </c>
      <c r="C113" s="15" t="s">
        <v>497</v>
      </c>
      <c r="D113" s="21" t="s">
        <v>498</v>
      </c>
      <c r="E113" s="15" t="s">
        <v>496</v>
      </c>
      <c r="F113" s="15" t="s">
        <v>41</v>
      </c>
      <c r="G113" s="15" t="s">
        <v>27</v>
      </c>
      <c r="H113" s="15" t="s">
        <v>15</v>
      </c>
      <c r="I113" s="22" t="s">
        <v>499</v>
      </c>
      <c r="J113" s="37">
        <f t="shared" si="5"/>
        <v>180</v>
      </c>
      <c r="L113" s="3"/>
      <c r="N113" s="3"/>
    </row>
    <row r="114" ht="22.5" customHeight="1">
      <c r="A114" s="20">
        <v>46089.70915671297</v>
      </c>
      <c r="B114" s="15" t="s">
        <v>500</v>
      </c>
      <c r="C114" s="15" t="s">
        <v>501</v>
      </c>
      <c r="D114" s="21" t="s">
        <v>502</v>
      </c>
      <c r="E114" s="15" t="s">
        <v>500</v>
      </c>
      <c r="F114" s="15" t="s">
        <v>47</v>
      </c>
      <c r="G114" s="15" t="s">
        <v>14</v>
      </c>
      <c r="H114" s="15" t="s">
        <v>37</v>
      </c>
      <c r="I114" s="22" t="s">
        <v>503</v>
      </c>
      <c r="J114" s="37">
        <f t="shared" si="5"/>
        <v>175</v>
      </c>
      <c r="L114" s="3"/>
      <c r="N114" s="3"/>
    </row>
    <row r="115" ht="22.5" customHeight="1">
      <c r="A115" s="20">
        <v>46089.709343483795</v>
      </c>
      <c r="B115" s="15" t="s">
        <v>504</v>
      </c>
      <c r="C115" s="15" t="s">
        <v>505</v>
      </c>
      <c r="D115" s="21" t="s">
        <v>506</v>
      </c>
      <c r="E115" s="15" t="s">
        <v>507</v>
      </c>
      <c r="F115" s="15" t="s">
        <v>13</v>
      </c>
      <c r="G115" s="15" t="s">
        <v>21</v>
      </c>
      <c r="H115" s="15" t="s">
        <v>15</v>
      </c>
      <c r="I115" s="22" t="s">
        <v>508</v>
      </c>
      <c r="J115" s="37">
        <f t="shared" si="5"/>
        <v>165</v>
      </c>
      <c r="L115" s="3"/>
      <c r="N115" s="3"/>
    </row>
    <row r="116" ht="22.5" customHeight="1">
      <c r="A116" s="20">
        <v>46089.70957738426</v>
      </c>
      <c r="B116" s="15" t="s">
        <v>509</v>
      </c>
      <c r="C116" s="15" t="s">
        <v>510</v>
      </c>
      <c r="D116" s="21" t="s">
        <v>511</v>
      </c>
      <c r="E116" s="15" t="s">
        <v>512</v>
      </c>
      <c r="F116" s="15" t="s">
        <v>13</v>
      </c>
      <c r="G116" s="15" t="s">
        <v>221</v>
      </c>
      <c r="H116" s="15" t="s">
        <v>37</v>
      </c>
      <c r="I116" s="22" t="s">
        <v>513</v>
      </c>
      <c r="J116" s="37">
        <f t="shared" si="5"/>
        <v>30</v>
      </c>
      <c r="L116" s="3"/>
      <c r="N116" s="3"/>
    </row>
    <row r="117" ht="22.5" customHeight="1">
      <c r="A117" s="20">
        <v>46089.7124950463</v>
      </c>
      <c r="B117" s="15" t="s">
        <v>514</v>
      </c>
      <c r="C117" s="15" t="s">
        <v>515</v>
      </c>
      <c r="D117" s="21" t="s">
        <v>516</v>
      </c>
      <c r="E117" s="15" t="s">
        <v>514</v>
      </c>
      <c r="F117" s="15" t="s">
        <v>13</v>
      </c>
      <c r="G117" s="15" t="s">
        <v>138</v>
      </c>
      <c r="H117" s="15" t="s">
        <v>15</v>
      </c>
      <c r="I117" s="22" t="s">
        <v>517</v>
      </c>
      <c r="J117" s="37">
        <f t="shared" si="5"/>
        <v>80</v>
      </c>
      <c r="L117" s="3"/>
      <c r="N117" s="3"/>
    </row>
    <row r="118" ht="22.5" customHeight="1">
      <c r="A118" s="20">
        <v>46089.713178125</v>
      </c>
      <c r="B118" s="15" t="s">
        <v>518</v>
      </c>
      <c r="C118" s="15" t="s">
        <v>519</v>
      </c>
      <c r="D118" s="21" t="s">
        <v>520</v>
      </c>
      <c r="E118" s="15" t="s">
        <v>518</v>
      </c>
      <c r="F118" s="15" t="s">
        <v>13</v>
      </c>
      <c r="G118" s="15" t="s">
        <v>138</v>
      </c>
      <c r="H118" s="15" t="s">
        <v>37</v>
      </c>
      <c r="I118" s="22" t="s">
        <v>521</v>
      </c>
      <c r="J118" s="37">
        <f t="shared" si="5"/>
        <v>80</v>
      </c>
      <c r="L118" s="3"/>
      <c r="N118" s="3"/>
    </row>
    <row r="119" ht="22.5" customHeight="1">
      <c r="A119" s="20">
        <v>46089.713291493055</v>
      </c>
      <c r="B119" s="15" t="s">
        <v>522</v>
      </c>
      <c r="C119" s="15" t="s">
        <v>523</v>
      </c>
      <c r="D119" s="21" t="s">
        <v>524</v>
      </c>
      <c r="E119" s="15" t="s">
        <v>522</v>
      </c>
      <c r="F119" s="15" t="s">
        <v>13</v>
      </c>
      <c r="G119" s="15" t="s">
        <v>221</v>
      </c>
      <c r="H119" s="15" t="s">
        <v>37</v>
      </c>
      <c r="I119" s="22" t="s">
        <v>525</v>
      </c>
      <c r="J119" s="37">
        <f t="shared" si="5"/>
        <v>30</v>
      </c>
      <c r="L119" s="3"/>
      <c r="N119" s="3"/>
    </row>
    <row r="120" ht="22.5" customHeight="1">
      <c r="A120" s="20">
        <v>46089.714274872684</v>
      </c>
      <c r="B120" s="15" t="s">
        <v>526</v>
      </c>
      <c r="C120" s="15" t="s">
        <v>527</v>
      </c>
      <c r="D120" s="21" t="s">
        <v>528</v>
      </c>
      <c r="E120" s="15" t="s">
        <v>526</v>
      </c>
      <c r="F120" s="15" t="s">
        <v>89</v>
      </c>
      <c r="G120" s="15" t="s">
        <v>21</v>
      </c>
      <c r="H120" s="15" t="s">
        <v>37</v>
      </c>
      <c r="I120" s="22" t="s">
        <v>529</v>
      </c>
      <c r="J120" s="37">
        <f t="shared" si="5"/>
        <v>165</v>
      </c>
      <c r="L120" s="3"/>
      <c r="N120" s="3"/>
    </row>
    <row r="121" ht="22.5" customHeight="1">
      <c r="A121" s="20">
        <v>46089.71460575231</v>
      </c>
      <c r="B121" s="15" t="s">
        <v>530</v>
      </c>
      <c r="C121" s="15" t="s">
        <v>531</v>
      </c>
      <c r="D121" s="21" t="s">
        <v>532</v>
      </c>
      <c r="E121" s="15" t="s">
        <v>530</v>
      </c>
      <c r="F121" s="15" t="s">
        <v>13</v>
      </c>
      <c r="G121" s="15" t="s">
        <v>138</v>
      </c>
      <c r="H121" s="15" t="s">
        <v>37</v>
      </c>
      <c r="I121" s="22" t="s">
        <v>533</v>
      </c>
      <c r="J121" s="37">
        <f t="shared" si="5"/>
        <v>80</v>
      </c>
      <c r="L121" s="3"/>
      <c r="N121" s="3"/>
    </row>
    <row r="122" ht="22.5" customHeight="1">
      <c r="A122" s="20">
        <v>46089.7166575</v>
      </c>
      <c r="B122" s="15" t="s">
        <v>534</v>
      </c>
      <c r="C122" s="15" t="s">
        <v>535</v>
      </c>
      <c r="D122" s="21" t="s">
        <v>524</v>
      </c>
      <c r="E122" s="15" t="s">
        <v>534</v>
      </c>
      <c r="F122" s="15" t="s">
        <v>13</v>
      </c>
      <c r="G122" s="15" t="s">
        <v>221</v>
      </c>
      <c r="H122" s="15" t="s">
        <v>15</v>
      </c>
      <c r="I122" s="22" t="s">
        <v>536</v>
      </c>
      <c r="J122" s="37">
        <f t="shared" si="5"/>
        <v>30</v>
      </c>
      <c r="L122" s="3"/>
      <c r="N122" s="3"/>
    </row>
    <row r="123" ht="22.5" customHeight="1">
      <c r="A123" s="20">
        <v>46089.71766809028</v>
      </c>
      <c r="B123" s="15" t="s">
        <v>537</v>
      </c>
      <c r="C123" s="15" t="s">
        <v>538</v>
      </c>
      <c r="D123" s="21" t="s">
        <v>539</v>
      </c>
      <c r="E123" s="15" t="s">
        <v>540</v>
      </c>
      <c r="F123" s="15" t="s">
        <v>41</v>
      </c>
      <c r="G123" s="15" t="s">
        <v>14</v>
      </c>
      <c r="H123" s="15" t="s">
        <v>15</v>
      </c>
      <c r="I123" s="22" t="s">
        <v>541</v>
      </c>
      <c r="J123" s="37">
        <f t="shared" si="5"/>
        <v>175</v>
      </c>
      <c r="L123" s="3"/>
      <c r="N123" s="3"/>
    </row>
    <row r="124" ht="22.5" customHeight="1">
      <c r="A124" s="20">
        <v>46089.72316576389</v>
      </c>
      <c r="B124" s="15" t="s">
        <v>542</v>
      </c>
      <c r="C124" s="15" t="s">
        <v>543</v>
      </c>
      <c r="D124" s="21" t="s">
        <v>544</v>
      </c>
      <c r="E124" s="15" t="s">
        <v>542</v>
      </c>
      <c r="F124" s="15" t="s">
        <v>13</v>
      </c>
      <c r="G124" s="15" t="s">
        <v>21</v>
      </c>
      <c r="H124" s="15" t="s">
        <v>15</v>
      </c>
      <c r="I124" s="22" t="s">
        <v>545</v>
      </c>
      <c r="J124" s="37">
        <f t="shared" si="5"/>
        <v>165</v>
      </c>
      <c r="L124" s="3"/>
      <c r="N124" s="3"/>
    </row>
    <row r="125" ht="22.5" customHeight="1">
      <c r="A125" s="20">
        <v>46089.72604709491</v>
      </c>
      <c r="B125" s="15" t="s">
        <v>546</v>
      </c>
      <c r="C125" s="15" t="s">
        <v>547</v>
      </c>
      <c r="D125" s="21" t="s">
        <v>548</v>
      </c>
      <c r="E125" s="15" t="s">
        <v>546</v>
      </c>
      <c r="F125" s="15" t="s">
        <v>47</v>
      </c>
      <c r="G125" s="15" t="s">
        <v>221</v>
      </c>
      <c r="H125" s="15" t="s">
        <v>15</v>
      </c>
      <c r="I125" s="22" t="s">
        <v>549</v>
      </c>
      <c r="J125" s="37">
        <f t="shared" si="5"/>
        <v>30</v>
      </c>
      <c r="L125" s="3"/>
      <c r="N125" s="3"/>
    </row>
    <row r="126" ht="22.5" customHeight="1">
      <c r="A126" s="20">
        <v>46089.736067997685</v>
      </c>
      <c r="B126" s="15" t="s">
        <v>550</v>
      </c>
      <c r="C126" s="15" t="s">
        <v>551</v>
      </c>
      <c r="D126" s="21" t="s">
        <v>552</v>
      </c>
      <c r="E126" s="15" t="s">
        <v>553</v>
      </c>
      <c r="F126" s="15" t="s">
        <v>41</v>
      </c>
      <c r="G126" s="15" t="s">
        <v>21</v>
      </c>
      <c r="H126" s="15" t="s">
        <v>15</v>
      </c>
      <c r="I126" s="22" t="s">
        <v>554</v>
      </c>
      <c r="J126" s="37">
        <f t="shared" si="5"/>
        <v>165</v>
      </c>
      <c r="L126" s="3"/>
      <c r="N126" s="3"/>
    </row>
    <row r="127" ht="22.5" customHeight="1">
      <c r="A127" s="20">
        <v>46089.73840640046</v>
      </c>
      <c r="B127" s="15" t="s">
        <v>555</v>
      </c>
      <c r="C127" s="15" t="s">
        <v>556</v>
      </c>
      <c r="D127" s="21" t="s">
        <v>557</v>
      </c>
      <c r="E127" s="15" t="s">
        <v>555</v>
      </c>
      <c r="F127" s="15" t="s">
        <v>47</v>
      </c>
      <c r="G127" s="15" t="s">
        <v>14</v>
      </c>
      <c r="H127" s="15" t="s">
        <v>15</v>
      </c>
      <c r="I127" s="22" t="s">
        <v>558</v>
      </c>
      <c r="J127" s="37">
        <f t="shared" si="5"/>
        <v>175</v>
      </c>
      <c r="L127" s="3"/>
      <c r="N127" s="3"/>
    </row>
    <row r="128" ht="22.5" customHeight="1">
      <c r="A128" s="20">
        <v>46089.74400068287</v>
      </c>
      <c r="B128" s="15" t="s">
        <v>559</v>
      </c>
      <c r="C128" s="15" t="s">
        <v>560</v>
      </c>
      <c r="D128" s="21" t="s">
        <v>561</v>
      </c>
      <c r="E128" s="15" t="s">
        <v>559</v>
      </c>
      <c r="F128" s="15" t="s">
        <v>41</v>
      </c>
      <c r="G128" s="15" t="s">
        <v>114</v>
      </c>
      <c r="H128" s="15" t="s">
        <v>15</v>
      </c>
      <c r="I128" s="22" t="s">
        <v>562</v>
      </c>
      <c r="J128" s="37">
        <f t="shared" si="5"/>
        <v>220</v>
      </c>
      <c r="L128" s="3"/>
      <c r="N128" s="3"/>
    </row>
    <row r="129" ht="22.5" customHeight="1">
      <c r="A129" s="20">
        <v>46089.7450441088</v>
      </c>
      <c r="B129" s="15" t="s">
        <v>563</v>
      </c>
      <c r="C129" s="15" t="s">
        <v>564</v>
      </c>
      <c r="D129" s="21" t="s">
        <v>565</v>
      </c>
      <c r="E129" s="15" t="s">
        <v>566</v>
      </c>
      <c r="F129" s="15" t="s">
        <v>20</v>
      </c>
      <c r="G129" s="15" t="s">
        <v>27</v>
      </c>
      <c r="H129" s="15" t="s">
        <v>37</v>
      </c>
      <c r="I129" s="22" t="s">
        <v>567</v>
      </c>
      <c r="J129" s="37">
        <f t="shared" si="5"/>
        <v>180</v>
      </c>
      <c r="L129" s="3"/>
      <c r="N129" s="3"/>
    </row>
    <row r="130" ht="22.5" customHeight="1">
      <c r="A130" s="20">
        <v>46089.74652673611</v>
      </c>
      <c r="B130" s="15" t="s">
        <v>568</v>
      </c>
      <c r="C130" s="15" t="s">
        <v>569</v>
      </c>
      <c r="D130" s="21" t="s">
        <v>570</v>
      </c>
      <c r="E130" s="15" t="s">
        <v>568</v>
      </c>
      <c r="F130" s="15" t="s">
        <v>65</v>
      </c>
      <c r="G130" s="15" t="s">
        <v>21</v>
      </c>
      <c r="H130" s="15" t="s">
        <v>15</v>
      </c>
      <c r="I130" s="22" t="s">
        <v>571</v>
      </c>
      <c r="J130" s="37">
        <f t="shared" si="5"/>
        <v>165</v>
      </c>
      <c r="L130" s="3"/>
      <c r="N130" s="3"/>
    </row>
    <row r="131" ht="22.5" customHeight="1">
      <c r="A131" s="20">
        <v>46089.7486231713</v>
      </c>
      <c r="B131" s="15" t="s">
        <v>572</v>
      </c>
      <c r="C131" s="15" t="s">
        <v>573</v>
      </c>
      <c r="D131" s="21" t="s">
        <v>574</v>
      </c>
      <c r="E131" s="15" t="s">
        <v>572</v>
      </c>
      <c r="F131" s="15" t="s">
        <v>47</v>
      </c>
      <c r="G131" s="15" t="s">
        <v>221</v>
      </c>
      <c r="H131" s="15" t="s">
        <v>15</v>
      </c>
      <c r="I131" s="22" t="s">
        <v>575</v>
      </c>
      <c r="J131" s="37">
        <f t="shared" si="5"/>
        <v>30</v>
      </c>
      <c r="L131" s="3"/>
      <c r="N131" s="3"/>
    </row>
    <row r="132" ht="22.5" customHeight="1">
      <c r="A132" s="20">
        <v>46089.74891504629</v>
      </c>
      <c r="B132" s="15" t="s">
        <v>576</v>
      </c>
      <c r="C132" s="15" t="s">
        <v>577</v>
      </c>
      <c r="D132" s="21" t="s">
        <v>578</v>
      </c>
      <c r="E132" s="15" t="s">
        <v>576</v>
      </c>
      <c r="F132" s="15" t="s">
        <v>13</v>
      </c>
      <c r="G132" s="15" t="s">
        <v>27</v>
      </c>
      <c r="H132" s="15" t="s">
        <v>15</v>
      </c>
      <c r="I132" s="22" t="s">
        <v>579</v>
      </c>
      <c r="J132" s="37">
        <f t="shared" si="5"/>
        <v>180</v>
      </c>
      <c r="L132" s="3"/>
      <c r="N132" s="3"/>
    </row>
    <row r="133" ht="22.5" customHeight="1">
      <c r="A133" s="20">
        <v>46089.74957638889</v>
      </c>
      <c r="B133" s="15" t="s">
        <v>580</v>
      </c>
      <c r="C133" s="15" t="s">
        <v>581</v>
      </c>
      <c r="D133" s="21" t="s">
        <v>582</v>
      </c>
      <c r="E133" s="15" t="s">
        <v>580</v>
      </c>
      <c r="F133" s="15" t="s">
        <v>47</v>
      </c>
      <c r="G133" s="15" t="s">
        <v>221</v>
      </c>
      <c r="H133" s="15" t="s">
        <v>15</v>
      </c>
      <c r="I133" s="22" t="s">
        <v>583</v>
      </c>
      <c r="J133" s="37">
        <f t="shared" si="5"/>
        <v>30</v>
      </c>
      <c r="L133" s="3"/>
      <c r="N133" s="3"/>
    </row>
    <row r="134" ht="22.5" customHeight="1">
      <c r="A134" s="20">
        <v>46089.74963344907</v>
      </c>
      <c r="B134" s="15" t="s">
        <v>584</v>
      </c>
      <c r="C134" s="15" t="s">
        <v>585</v>
      </c>
      <c r="D134" s="21" t="s">
        <v>586</v>
      </c>
      <c r="E134" s="15" t="s">
        <v>584</v>
      </c>
      <c r="F134" s="15" t="s">
        <v>47</v>
      </c>
      <c r="G134" s="15" t="s">
        <v>221</v>
      </c>
      <c r="H134" s="15" t="s">
        <v>37</v>
      </c>
      <c r="I134" s="22" t="s">
        <v>587</v>
      </c>
      <c r="J134" s="37">
        <f t="shared" si="5"/>
        <v>30</v>
      </c>
      <c r="L134" s="3"/>
      <c r="N134" s="3"/>
    </row>
    <row r="135" ht="22.5" customHeight="1">
      <c r="A135" s="20">
        <v>46089.75120616898</v>
      </c>
      <c r="B135" s="15" t="s">
        <v>588</v>
      </c>
      <c r="C135" s="15" t="s">
        <v>589</v>
      </c>
      <c r="D135" s="21" t="s">
        <v>590</v>
      </c>
      <c r="E135" s="15" t="s">
        <v>588</v>
      </c>
      <c r="F135" s="15" t="s">
        <v>47</v>
      </c>
      <c r="G135" s="15" t="s">
        <v>114</v>
      </c>
      <c r="H135" s="15" t="s">
        <v>15</v>
      </c>
      <c r="I135" s="22" t="s">
        <v>591</v>
      </c>
      <c r="J135" s="37">
        <f t="shared" si="5"/>
        <v>220</v>
      </c>
      <c r="L135" s="3"/>
      <c r="N135" s="3"/>
    </row>
    <row r="136" ht="22.5" customHeight="1">
      <c r="A136" s="20">
        <v>46089.758650081014</v>
      </c>
      <c r="B136" s="15" t="s">
        <v>592</v>
      </c>
      <c r="C136" s="15" t="s">
        <v>593</v>
      </c>
      <c r="D136" s="21" t="s">
        <v>594</v>
      </c>
      <c r="E136" s="15" t="s">
        <v>592</v>
      </c>
      <c r="F136" s="15" t="s">
        <v>41</v>
      </c>
      <c r="G136" s="15" t="s">
        <v>21</v>
      </c>
      <c r="H136" s="15" t="s">
        <v>37</v>
      </c>
      <c r="I136" s="22" t="s">
        <v>595</v>
      </c>
      <c r="J136" s="37">
        <f t="shared" si="5"/>
        <v>165</v>
      </c>
      <c r="L136" s="3"/>
      <c r="N136" s="3"/>
    </row>
    <row r="137" ht="22.5" customHeight="1">
      <c r="A137" s="20">
        <v>46089.760695335644</v>
      </c>
      <c r="B137" s="15" t="s">
        <v>596</v>
      </c>
      <c r="C137" s="15" t="s">
        <v>597</v>
      </c>
      <c r="D137" s="21" t="s">
        <v>598</v>
      </c>
      <c r="E137" s="15" t="s">
        <v>596</v>
      </c>
      <c r="F137" s="15" t="s">
        <v>41</v>
      </c>
      <c r="G137" s="15" t="s">
        <v>27</v>
      </c>
      <c r="H137" s="15" t="s">
        <v>55</v>
      </c>
      <c r="I137" s="22" t="s">
        <v>599</v>
      </c>
      <c r="J137" s="37">
        <f t="shared" si="5"/>
        <v>180</v>
      </c>
      <c r="L137" s="3"/>
      <c r="N137" s="3"/>
    </row>
    <row r="138" ht="22.5" customHeight="1">
      <c r="A138" s="20">
        <v>46089.761293194446</v>
      </c>
      <c r="B138" s="15" t="s">
        <v>600</v>
      </c>
      <c r="C138" s="15" t="s">
        <v>601</v>
      </c>
      <c r="D138" s="21" t="s">
        <v>602</v>
      </c>
      <c r="E138" s="15" t="s">
        <v>600</v>
      </c>
      <c r="F138" s="15" t="s">
        <v>13</v>
      </c>
      <c r="G138" s="15" t="s">
        <v>114</v>
      </c>
      <c r="H138" s="15" t="s">
        <v>15</v>
      </c>
      <c r="I138" s="22" t="s">
        <v>603</v>
      </c>
      <c r="J138" s="37">
        <f t="shared" si="5"/>
        <v>220</v>
      </c>
      <c r="L138" s="3"/>
      <c r="N138" s="3"/>
    </row>
    <row r="139" ht="22.5" customHeight="1">
      <c r="A139" s="20">
        <v>46089.76143748843</v>
      </c>
      <c r="B139" s="15" t="s">
        <v>604</v>
      </c>
      <c r="C139" s="15" t="s">
        <v>605</v>
      </c>
      <c r="D139" s="21" t="s">
        <v>606</v>
      </c>
      <c r="E139" s="15" t="s">
        <v>604</v>
      </c>
      <c r="F139" s="15" t="s">
        <v>47</v>
      </c>
      <c r="G139" s="15" t="s">
        <v>221</v>
      </c>
      <c r="H139" s="15" t="s">
        <v>15</v>
      </c>
      <c r="I139" s="22" t="s">
        <v>607</v>
      </c>
      <c r="J139" s="37">
        <f t="shared" si="5"/>
        <v>30</v>
      </c>
      <c r="L139" s="3"/>
      <c r="N139" s="3"/>
    </row>
    <row r="140" ht="22.5" customHeight="1">
      <c r="A140" s="20">
        <v>46089.76484607639</v>
      </c>
      <c r="B140" s="15" t="s">
        <v>608</v>
      </c>
      <c r="C140" s="15" t="s">
        <v>609</v>
      </c>
      <c r="D140" s="21" t="s">
        <v>610</v>
      </c>
      <c r="E140" s="15" t="s">
        <v>608</v>
      </c>
      <c r="F140" s="15" t="s">
        <v>13</v>
      </c>
      <c r="G140" s="15" t="s">
        <v>221</v>
      </c>
      <c r="H140" s="15" t="s">
        <v>15</v>
      </c>
      <c r="I140" s="22" t="s">
        <v>611</v>
      </c>
      <c r="J140" s="37">
        <f t="shared" si="5"/>
        <v>30</v>
      </c>
      <c r="L140" s="3"/>
      <c r="N140" s="3"/>
    </row>
    <row r="141" ht="22.5" customHeight="1">
      <c r="A141" s="20">
        <v>46089.76503684028</v>
      </c>
      <c r="B141" s="15" t="s">
        <v>612</v>
      </c>
      <c r="C141" s="23" t="s">
        <v>613</v>
      </c>
      <c r="D141" s="21" t="s">
        <v>614</v>
      </c>
      <c r="E141" s="15" t="s">
        <v>612</v>
      </c>
      <c r="F141" s="15" t="s">
        <v>20</v>
      </c>
      <c r="G141" s="15" t="s">
        <v>138</v>
      </c>
      <c r="H141" s="15" t="s">
        <v>15</v>
      </c>
      <c r="I141" s="22" t="s">
        <v>615</v>
      </c>
      <c r="J141" s="37">
        <f t="shared" si="5"/>
        <v>80</v>
      </c>
      <c r="L141" s="3"/>
      <c r="N141" s="3"/>
    </row>
    <row r="142" ht="22.5" customHeight="1">
      <c r="A142" s="20">
        <v>46089.766692812496</v>
      </c>
      <c r="B142" s="15" t="s">
        <v>616</v>
      </c>
      <c r="C142" s="15" t="s">
        <v>617</v>
      </c>
      <c r="D142" s="21" t="s">
        <v>618</v>
      </c>
      <c r="E142" s="15" t="s">
        <v>619</v>
      </c>
      <c r="F142" s="15" t="s">
        <v>13</v>
      </c>
      <c r="G142" s="15" t="s">
        <v>21</v>
      </c>
      <c r="H142" s="15" t="s">
        <v>15</v>
      </c>
      <c r="I142" s="22" t="s">
        <v>620</v>
      </c>
      <c r="J142" s="37">
        <f t="shared" si="5"/>
        <v>165</v>
      </c>
      <c r="L142" s="3"/>
      <c r="N142" s="3"/>
    </row>
    <row r="143" ht="22.5" customHeight="1">
      <c r="A143" s="20">
        <v>46089.767940844904</v>
      </c>
      <c r="B143" s="15" t="s">
        <v>621</v>
      </c>
      <c r="C143" s="23" t="s">
        <v>622</v>
      </c>
      <c r="D143" s="21" t="s">
        <v>623</v>
      </c>
      <c r="E143" s="15" t="s">
        <v>621</v>
      </c>
      <c r="F143" s="15" t="s">
        <v>13</v>
      </c>
      <c r="G143" s="15" t="s">
        <v>221</v>
      </c>
      <c r="H143" s="15" t="s">
        <v>15</v>
      </c>
      <c r="I143" s="22" t="s">
        <v>624</v>
      </c>
      <c r="J143" s="37">
        <f t="shared" si="5"/>
        <v>30</v>
      </c>
      <c r="L143" s="3"/>
      <c r="N143" s="3"/>
    </row>
    <row r="144" ht="22.5" customHeight="1">
      <c r="A144" s="20">
        <v>46089.768848078704</v>
      </c>
      <c r="B144" s="15" t="s">
        <v>625</v>
      </c>
      <c r="C144" s="15" t="s">
        <v>626</v>
      </c>
      <c r="D144" s="21" t="s">
        <v>627</v>
      </c>
      <c r="E144" s="15" t="s">
        <v>625</v>
      </c>
      <c r="F144" s="15" t="s">
        <v>13</v>
      </c>
      <c r="G144" s="15" t="s">
        <v>14</v>
      </c>
      <c r="H144" s="15" t="s">
        <v>37</v>
      </c>
      <c r="I144" s="22" t="s">
        <v>628</v>
      </c>
      <c r="J144" s="37">
        <f t="shared" si="5"/>
        <v>175</v>
      </c>
      <c r="L144" s="3"/>
      <c r="N144" s="3"/>
    </row>
    <row r="145" ht="22.5" customHeight="1">
      <c r="A145" s="20">
        <v>46089.77092505787</v>
      </c>
      <c r="B145" s="15" t="s">
        <v>629</v>
      </c>
      <c r="C145" s="15" t="s">
        <v>630</v>
      </c>
      <c r="D145" s="21" t="s">
        <v>631</v>
      </c>
      <c r="E145" s="15" t="s">
        <v>629</v>
      </c>
      <c r="F145" s="15" t="s">
        <v>13</v>
      </c>
      <c r="G145" s="15" t="s">
        <v>21</v>
      </c>
      <c r="H145" s="15" t="s">
        <v>37</v>
      </c>
      <c r="I145" s="22" t="s">
        <v>632</v>
      </c>
      <c r="J145" s="37">
        <f t="shared" si="5"/>
        <v>165</v>
      </c>
      <c r="L145" s="3"/>
      <c r="N145" s="3"/>
    </row>
    <row r="146" ht="22.5" customHeight="1">
      <c r="A146" s="20">
        <v>46089.77286793981</v>
      </c>
      <c r="B146" s="15" t="s">
        <v>633</v>
      </c>
      <c r="C146" s="15" t="s">
        <v>634</v>
      </c>
      <c r="D146" s="21" t="s">
        <v>635</v>
      </c>
      <c r="E146" s="15" t="s">
        <v>633</v>
      </c>
      <c r="F146" s="15" t="s">
        <v>13</v>
      </c>
      <c r="G146" s="15" t="s">
        <v>21</v>
      </c>
      <c r="H146" s="15" t="s">
        <v>37</v>
      </c>
      <c r="I146" s="22" t="s">
        <v>636</v>
      </c>
      <c r="J146" s="37">
        <f t="shared" si="5"/>
        <v>165</v>
      </c>
      <c r="L146" s="3"/>
      <c r="N146" s="3"/>
    </row>
    <row r="147" ht="22.5" customHeight="1">
      <c r="A147" s="20">
        <v>46089.77339728009</v>
      </c>
      <c r="B147" s="15" t="s">
        <v>637</v>
      </c>
      <c r="C147" s="15" t="s">
        <v>638</v>
      </c>
      <c r="D147" s="21" t="s">
        <v>639</v>
      </c>
      <c r="E147" s="15" t="s">
        <v>637</v>
      </c>
      <c r="F147" s="15" t="s">
        <v>20</v>
      </c>
      <c r="G147" s="15" t="s">
        <v>27</v>
      </c>
      <c r="H147" s="15" t="s">
        <v>37</v>
      </c>
      <c r="I147" s="22" t="s">
        <v>640</v>
      </c>
      <c r="J147" s="37">
        <f t="shared" si="5"/>
        <v>180</v>
      </c>
      <c r="L147" s="3"/>
      <c r="N147" s="3"/>
    </row>
    <row r="148" ht="22.5" customHeight="1">
      <c r="A148" s="20">
        <v>46089.77431212963</v>
      </c>
      <c r="B148" s="15" t="s">
        <v>641</v>
      </c>
      <c r="C148" s="15" t="s">
        <v>642</v>
      </c>
      <c r="D148" s="21" t="s">
        <v>643</v>
      </c>
      <c r="E148" s="15" t="s">
        <v>644</v>
      </c>
      <c r="F148" s="15" t="s">
        <v>13</v>
      </c>
      <c r="G148" s="15" t="s">
        <v>221</v>
      </c>
      <c r="H148" s="15" t="s">
        <v>15</v>
      </c>
      <c r="I148" s="22" t="s">
        <v>645</v>
      </c>
      <c r="J148" s="37">
        <f t="shared" si="5"/>
        <v>30</v>
      </c>
      <c r="L148" s="3"/>
      <c r="N148" s="3"/>
    </row>
    <row r="149" ht="22.5" customHeight="1">
      <c r="A149" s="20">
        <v>46089.77465710648</v>
      </c>
      <c r="B149" s="15" t="s">
        <v>646</v>
      </c>
      <c r="C149" s="15" t="s">
        <v>647</v>
      </c>
      <c r="D149" s="21" t="s">
        <v>648</v>
      </c>
      <c r="E149" s="15" t="s">
        <v>646</v>
      </c>
      <c r="F149" s="15" t="s">
        <v>13</v>
      </c>
      <c r="G149" s="15" t="s">
        <v>21</v>
      </c>
      <c r="H149" s="15" t="s">
        <v>55</v>
      </c>
      <c r="I149" s="22" t="s">
        <v>649</v>
      </c>
      <c r="J149" s="37">
        <f t="shared" si="5"/>
        <v>165</v>
      </c>
      <c r="L149" s="3"/>
      <c r="N149" s="3"/>
    </row>
    <row r="150" ht="22.5" customHeight="1">
      <c r="A150" s="20">
        <v>46089.77518643519</v>
      </c>
      <c r="B150" s="15" t="s">
        <v>650</v>
      </c>
      <c r="C150" s="15" t="s">
        <v>651</v>
      </c>
      <c r="D150" s="21" t="s">
        <v>652</v>
      </c>
      <c r="E150" s="15" t="s">
        <v>650</v>
      </c>
      <c r="F150" s="15" t="s">
        <v>13</v>
      </c>
      <c r="G150" s="15" t="s">
        <v>21</v>
      </c>
      <c r="H150" s="15" t="s">
        <v>15</v>
      </c>
      <c r="I150" s="22" t="s">
        <v>653</v>
      </c>
      <c r="J150" s="37">
        <f t="shared" si="5"/>
        <v>165</v>
      </c>
      <c r="L150" s="3"/>
      <c r="N150" s="3"/>
    </row>
    <row r="151" ht="22.5" customHeight="1">
      <c r="A151" s="20">
        <v>46089.778526678245</v>
      </c>
      <c r="B151" s="15" t="s">
        <v>654</v>
      </c>
      <c r="C151" s="15" t="s">
        <v>655</v>
      </c>
      <c r="D151" s="21" t="s">
        <v>656</v>
      </c>
      <c r="E151" s="15" t="s">
        <v>657</v>
      </c>
      <c r="F151" s="15" t="s">
        <v>47</v>
      </c>
      <c r="G151" s="15" t="s">
        <v>27</v>
      </c>
      <c r="H151" s="15" t="s">
        <v>15</v>
      </c>
      <c r="I151" s="22" t="s">
        <v>658</v>
      </c>
      <c r="J151" s="37">
        <f t="shared" si="5"/>
        <v>180</v>
      </c>
      <c r="L151" s="3"/>
      <c r="N151" s="3"/>
    </row>
    <row r="152" ht="22.5" customHeight="1">
      <c r="A152" s="20">
        <v>46089.77943744213</v>
      </c>
      <c r="B152" s="15" t="s">
        <v>659</v>
      </c>
      <c r="C152" s="15" t="s">
        <v>660</v>
      </c>
      <c r="D152" s="21" t="s">
        <v>661</v>
      </c>
      <c r="E152" s="15" t="s">
        <v>659</v>
      </c>
      <c r="F152" s="15" t="s">
        <v>20</v>
      </c>
      <c r="G152" s="15" t="s">
        <v>221</v>
      </c>
      <c r="H152" s="15" t="s">
        <v>15</v>
      </c>
      <c r="I152" s="22" t="s">
        <v>662</v>
      </c>
      <c r="J152" s="37">
        <f t="shared" si="5"/>
        <v>30</v>
      </c>
      <c r="L152" s="3"/>
      <c r="N152" s="3"/>
    </row>
    <row r="153" ht="22.5" customHeight="1">
      <c r="A153" s="20">
        <v>46089.78259920139</v>
      </c>
      <c r="B153" s="15" t="s">
        <v>663</v>
      </c>
      <c r="C153" s="15" t="s">
        <v>664</v>
      </c>
      <c r="D153" s="38" t="s">
        <v>665</v>
      </c>
      <c r="E153" s="15" t="s">
        <v>663</v>
      </c>
      <c r="F153" s="15" t="s">
        <v>41</v>
      </c>
      <c r="G153" s="15" t="s">
        <v>27</v>
      </c>
      <c r="H153" s="15" t="s">
        <v>15</v>
      </c>
      <c r="I153" s="22" t="s">
        <v>666</v>
      </c>
      <c r="J153" s="37">
        <f t="shared" si="5"/>
        <v>180</v>
      </c>
      <c r="L153" s="3"/>
      <c r="N153" s="3"/>
    </row>
    <row r="154" ht="22.5" customHeight="1">
      <c r="A154" s="20">
        <v>46089.78268523148</v>
      </c>
      <c r="B154" s="15" t="s">
        <v>667</v>
      </c>
      <c r="C154" s="15" t="s">
        <v>668</v>
      </c>
      <c r="D154" s="21" t="s">
        <v>669</v>
      </c>
      <c r="E154" s="15" t="s">
        <v>670</v>
      </c>
      <c r="F154" s="15" t="s">
        <v>20</v>
      </c>
      <c r="G154" s="15" t="s">
        <v>221</v>
      </c>
      <c r="H154" s="15" t="s">
        <v>15</v>
      </c>
      <c r="I154" s="22" t="s">
        <v>671</v>
      </c>
      <c r="J154" s="37">
        <f t="shared" si="5"/>
        <v>30</v>
      </c>
      <c r="L154" s="3"/>
      <c r="N154" s="3"/>
    </row>
    <row r="155" ht="22.5" customHeight="1">
      <c r="A155" s="20">
        <v>46089.78291039352</v>
      </c>
      <c r="B155" s="15" t="s">
        <v>672</v>
      </c>
      <c r="C155" s="15" t="s">
        <v>673</v>
      </c>
      <c r="D155" s="21" t="s">
        <v>674</v>
      </c>
      <c r="E155" s="15" t="s">
        <v>672</v>
      </c>
      <c r="F155" s="15" t="s">
        <v>41</v>
      </c>
      <c r="G155" s="15" t="s">
        <v>14</v>
      </c>
      <c r="H155" s="15" t="s">
        <v>15</v>
      </c>
      <c r="I155" s="22" t="s">
        <v>675</v>
      </c>
      <c r="J155" s="37">
        <f t="shared" si="5"/>
        <v>175</v>
      </c>
      <c r="L155" s="3"/>
      <c r="N155" s="3"/>
    </row>
    <row r="156" ht="22.5" customHeight="1">
      <c r="A156" s="20">
        <v>46089.783082256945</v>
      </c>
      <c r="B156" s="15" t="s">
        <v>676</v>
      </c>
      <c r="C156" s="15" t="s">
        <v>677</v>
      </c>
      <c r="D156" s="21" t="s">
        <v>678</v>
      </c>
      <c r="E156" s="15" t="s">
        <v>676</v>
      </c>
      <c r="F156" s="15" t="s">
        <v>41</v>
      </c>
      <c r="G156" s="15" t="s">
        <v>21</v>
      </c>
      <c r="H156" s="15" t="s">
        <v>15</v>
      </c>
      <c r="I156" s="22" t="s">
        <v>679</v>
      </c>
      <c r="J156" s="37">
        <f t="shared" si="5"/>
        <v>165</v>
      </c>
      <c r="L156" s="3"/>
      <c r="N156" s="3"/>
    </row>
    <row r="157" ht="22.5" customHeight="1">
      <c r="A157" s="20">
        <v>46089.784297569444</v>
      </c>
      <c r="B157" s="15" t="s">
        <v>680</v>
      </c>
      <c r="C157" s="23" t="s">
        <v>681</v>
      </c>
      <c r="D157" s="21" t="s">
        <v>682</v>
      </c>
      <c r="E157" s="15" t="s">
        <v>683</v>
      </c>
      <c r="F157" s="15" t="s">
        <v>20</v>
      </c>
      <c r="G157" s="15" t="s">
        <v>221</v>
      </c>
      <c r="H157" s="15" t="s">
        <v>15</v>
      </c>
      <c r="I157" s="22" t="s">
        <v>684</v>
      </c>
      <c r="J157" s="37">
        <f t="shared" si="5"/>
        <v>30</v>
      </c>
      <c r="L157" s="3"/>
      <c r="N157" s="3"/>
    </row>
    <row r="158" ht="22.5" customHeight="1">
      <c r="A158" s="20">
        <v>46089.78485645833</v>
      </c>
      <c r="B158" s="15" t="s">
        <v>685</v>
      </c>
      <c r="C158" s="15" t="s">
        <v>686</v>
      </c>
      <c r="D158" s="21" t="s">
        <v>687</v>
      </c>
      <c r="E158" s="15" t="s">
        <v>688</v>
      </c>
      <c r="F158" s="15" t="s">
        <v>41</v>
      </c>
      <c r="G158" s="15" t="s">
        <v>21</v>
      </c>
      <c r="H158" s="15" t="s">
        <v>37</v>
      </c>
      <c r="I158" s="22" t="s">
        <v>689</v>
      </c>
      <c r="J158" s="37">
        <f t="shared" si="5"/>
        <v>165</v>
      </c>
      <c r="L158" s="3"/>
      <c r="N158" s="3"/>
    </row>
    <row r="159" ht="22.5" customHeight="1">
      <c r="A159" s="20">
        <v>46089.78494200231</v>
      </c>
      <c r="B159" s="15" t="s">
        <v>690</v>
      </c>
      <c r="C159" s="23" t="s">
        <v>691</v>
      </c>
      <c r="D159" s="21" t="s">
        <v>692</v>
      </c>
      <c r="E159" s="15" t="s">
        <v>693</v>
      </c>
      <c r="F159" s="15" t="s">
        <v>47</v>
      </c>
      <c r="G159" s="15" t="s">
        <v>14</v>
      </c>
      <c r="H159" s="15" t="s">
        <v>15</v>
      </c>
      <c r="I159" s="22" t="s">
        <v>694</v>
      </c>
      <c r="J159" s="37">
        <f t="shared" si="5"/>
        <v>175</v>
      </c>
      <c r="L159" s="3"/>
      <c r="N159" s="3"/>
    </row>
    <row r="160" ht="22.5" customHeight="1">
      <c r="A160" s="20">
        <v>46089.78511185185</v>
      </c>
      <c r="B160" s="15" t="s">
        <v>695</v>
      </c>
      <c r="C160" s="15" t="s">
        <v>696</v>
      </c>
      <c r="D160" s="21" t="s">
        <v>697</v>
      </c>
      <c r="E160" s="15" t="s">
        <v>695</v>
      </c>
      <c r="F160" s="15" t="s">
        <v>20</v>
      </c>
      <c r="G160" s="15" t="s">
        <v>14</v>
      </c>
      <c r="H160" s="15" t="s">
        <v>15</v>
      </c>
      <c r="I160" s="22" t="s">
        <v>698</v>
      </c>
      <c r="J160" s="37">
        <f t="shared" si="5"/>
        <v>175</v>
      </c>
      <c r="L160" s="3"/>
      <c r="N160" s="3"/>
    </row>
    <row r="161" ht="22.5" customHeight="1">
      <c r="A161" s="20">
        <v>46089.785364062496</v>
      </c>
      <c r="B161" s="15" t="s">
        <v>699</v>
      </c>
      <c r="C161" s="15" t="s">
        <v>700</v>
      </c>
      <c r="D161" s="21" t="s">
        <v>701</v>
      </c>
      <c r="E161" s="15" t="s">
        <v>699</v>
      </c>
      <c r="F161" s="15" t="s">
        <v>20</v>
      </c>
      <c r="G161" s="15" t="s">
        <v>27</v>
      </c>
      <c r="H161" s="15" t="s">
        <v>15</v>
      </c>
      <c r="I161" s="22" t="s">
        <v>702</v>
      </c>
      <c r="J161" s="37">
        <f t="shared" si="5"/>
        <v>180</v>
      </c>
      <c r="L161" s="3"/>
      <c r="N161" s="3"/>
    </row>
    <row r="162" ht="22.5" customHeight="1">
      <c r="A162" s="20">
        <v>46089.78572615741</v>
      </c>
      <c r="B162" s="15" t="s">
        <v>703</v>
      </c>
      <c r="C162" s="15" t="s">
        <v>704</v>
      </c>
      <c r="D162" s="21" t="s">
        <v>705</v>
      </c>
      <c r="E162" s="15" t="s">
        <v>703</v>
      </c>
      <c r="F162" s="15" t="s">
        <v>41</v>
      </c>
      <c r="G162" s="15" t="s">
        <v>14</v>
      </c>
      <c r="H162" s="15" t="s">
        <v>15</v>
      </c>
      <c r="I162" s="22" t="s">
        <v>706</v>
      </c>
      <c r="J162" s="37">
        <f t="shared" si="5"/>
        <v>175</v>
      </c>
      <c r="L162" s="3"/>
      <c r="N162" s="3"/>
    </row>
    <row r="163" ht="22.5" customHeight="1">
      <c r="A163" s="20">
        <v>46089.78627984953</v>
      </c>
      <c r="B163" s="15" t="s">
        <v>707</v>
      </c>
      <c r="C163" s="15" t="s">
        <v>708</v>
      </c>
      <c r="D163" s="21" t="s">
        <v>709</v>
      </c>
      <c r="E163" s="15" t="s">
        <v>707</v>
      </c>
      <c r="F163" s="15" t="s">
        <v>41</v>
      </c>
      <c r="G163" s="15" t="s">
        <v>21</v>
      </c>
      <c r="H163" s="15" t="s">
        <v>15</v>
      </c>
      <c r="I163" s="22" t="s">
        <v>710</v>
      </c>
      <c r="J163" s="37">
        <f t="shared" si="5"/>
        <v>165</v>
      </c>
      <c r="L163" s="3"/>
      <c r="N163" s="3"/>
    </row>
    <row r="164" ht="22.5" customHeight="1">
      <c r="A164" s="20">
        <v>46089.78641114583</v>
      </c>
      <c r="B164" s="15" t="s">
        <v>711</v>
      </c>
      <c r="C164" s="23" t="s">
        <v>712</v>
      </c>
      <c r="D164" s="21" t="s">
        <v>713</v>
      </c>
      <c r="E164" s="15" t="s">
        <v>711</v>
      </c>
      <c r="F164" s="15" t="s">
        <v>65</v>
      </c>
      <c r="G164" s="15" t="s">
        <v>138</v>
      </c>
      <c r="H164" s="15" t="s">
        <v>15</v>
      </c>
      <c r="I164" s="22" t="s">
        <v>714</v>
      </c>
      <c r="J164" s="37">
        <f t="shared" si="5"/>
        <v>80</v>
      </c>
      <c r="L164" s="3"/>
      <c r="N164" s="3"/>
    </row>
    <row r="165" ht="22.5" customHeight="1">
      <c r="A165" s="20">
        <v>46089.78678967593</v>
      </c>
      <c r="B165" s="15" t="s">
        <v>715</v>
      </c>
      <c r="C165" s="15" t="s">
        <v>716</v>
      </c>
      <c r="D165" s="21" t="s">
        <v>717</v>
      </c>
      <c r="E165" s="15" t="s">
        <v>715</v>
      </c>
      <c r="F165" s="15" t="s">
        <v>13</v>
      </c>
      <c r="G165" s="15" t="s">
        <v>27</v>
      </c>
      <c r="H165" s="15" t="s">
        <v>15</v>
      </c>
      <c r="I165" s="22" t="s">
        <v>718</v>
      </c>
      <c r="J165" s="37">
        <f t="shared" si="5"/>
        <v>180</v>
      </c>
      <c r="L165" s="3"/>
      <c r="N165" s="3"/>
    </row>
    <row r="166" ht="22.5" customHeight="1">
      <c r="A166" s="20">
        <v>46089.7870174537</v>
      </c>
      <c r="B166" s="15" t="s">
        <v>719</v>
      </c>
      <c r="C166" s="15" t="s">
        <v>720</v>
      </c>
      <c r="D166" s="21" t="s">
        <v>721</v>
      </c>
      <c r="E166" s="15" t="s">
        <v>719</v>
      </c>
      <c r="F166" s="15" t="s">
        <v>47</v>
      </c>
      <c r="G166" s="15" t="s">
        <v>221</v>
      </c>
      <c r="H166" s="15" t="s">
        <v>15</v>
      </c>
      <c r="I166" s="22" t="s">
        <v>722</v>
      </c>
      <c r="J166" s="37">
        <f t="shared" si="5"/>
        <v>30</v>
      </c>
      <c r="L166" s="3"/>
      <c r="N166" s="3"/>
    </row>
    <row r="167" ht="22.5" customHeight="1">
      <c r="A167" s="20">
        <v>46089.787525590276</v>
      </c>
      <c r="B167" s="15" t="s">
        <v>723</v>
      </c>
      <c r="C167" s="15" t="s">
        <v>724</v>
      </c>
      <c r="D167" s="21" t="s">
        <v>725</v>
      </c>
      <c r="E167" s="15" t="s">
        <v>723</v>
      </c>
      <c r="F167" s="15" t="s">
        <v>47</v>
      </c>
      <c r="G167" s="15" t="s">
        <v>27</v>
      </c>
      <c r="H167" s="15" t="s">
        <v>15</v>
      </c>
      <c r="I167" s="22" t="s">
        <v>726</v>
      </c>
      <c r="J167" s="37">
        <f t="shared" si="5"/>
        <v>180</v>
      </c>
      <c r="L167" s="3"/>
      <c r="N167" s="3"/>
    </row>
    <row r="168" ht="22.5" customHeight="1">
      <c r="A168" s="20">
        <v>46089.78883841435</v>
      </c>
      <c r="B168" s="15" t="s">
        <v>727</v>
      </c>
      <c r="C168" s="15" t="s">
        <v>728</v>
      </c>
      <c r="D168" s="21" t="s">
        <v>729</v>
      </c>
      <c r="E168" s="15" t="s">
        <v>727</v>
      </c>
      <c r="F168" s="15" t="s">
        <v>20</v>
      </c>
      <c r="G168" s="15" t="s">
        <v>21</v>
      </c>
      <c r="H168" s="15" t="s">
        <v>15</v>
      </c>
      <c r="I168" s="22" t="s">
        <v>730</v>
      </c>
      <c r="J168" s="37">
        <f t="shared" si="5"/>
        <v>165</v>
      </c>
      <c r="L168" s="3"/>
      <c r="N168" s="3"/>
    </row>
    <row r="169" ht="22.5" customHeight="1">
      <c r="A169" s="20">
        <v>46089.79092818287</v>
      </c>
      <c r="B169" s="15" t="s">
        <v>731</v>
      </c>
      <c r="C169" s="15" t="s">
        <v>732</v>
      </c>
      <c r="D169" s="21" t="s">
        <v>733</v>
      </c>
      <c r="E169" s="15" t="s">
        <v>734</v>
      </c>
      <c r="F169" s="15" t="s">
        <v>47</v>
      </c>
      <c r="G169" s="15" t="s">
        <v>138</v>
      </c>
      <c r="H169" s="15" t="s">
        <v>15</v>
      </c>
      <c r="I169" s="22" t="s">
        <v>735</v>
      </c>
      <c r="J169" s="37">
        <f t="shared" si="5"/>
        <v>80</v>
      </c>
      <c r="L169" s="3"/>
      <c r="N169" s="3"/>
    </row>
    <row r="170" ht="22.5" customHeight="1">
      <c r="A170" s="20">
        <v>46089.79131059028</v>
      </c>
      <c r="B170" s="15" t="s">
        <v>736</v>
      </c>
      <c r="C170" s="15" t="s">
        <v>737</v>
      </c>
      <c r="D170" s="21" t="s">
        <v>738</v>
      </c>
      <c r="E170" s="15" t="s">
        <v>736</v>
      </c>
      <c r="F170" s="15" t="s">
        <v>41</v>
      </c>
      <c r="G170" s="15" t="s">
        <v>27</v>
      </c>
      <c r="H170" s="15" t="s">
        <v>15</v>
      </c>
      <c r="I170" s="22" t="s">
        <v>739</v>
      </c>
      <c r="J170" s="37">
        <f t="shared" si="5"/>
        <v>180</v>
      </c>
      <c r="L170" s="3"/>
      <c r="N170" s="3"/>
    </row>
    <row r="171" ht="22.5" customHeight="1">
      <c r="A171" s="20">
        <v>46089.792039409724</v>
      </c>
      <c r="B171" s="15" t="s">
        <v>740</v>
      </c>
      <c r="C171" s="15" t="s">
        <v>741</v>
      </c>
      <c r="D171" s="21" t="s">
        <v>742</v>
      </c>
      <c r="E171" s="15" t="s">
        <v>740</v>
      </c>
      <c r="F171" s="15" t="s">
        <v>41</v>
      </c>
      <c r="G171" s="15" t="s">
        <v>27</v>
      </c>
      <c r="H171" s="15" t="s">
        <v>15</v>
      </c>
      <c r="I171" s="22" t="s">
        <v>743</v>
      </c>
      <c r="J171" s="37">
        <f t="shared" si="5"/>
        <v>180</v>
      </c>
      <c r="L171" s="3"/>
      <c r="N171" s="3"/>
    </row>
    <row r="172" ht="22.5" customHeight="1">
      <c r="A172" s="20">
        <v>46089.79223957176</v>
      </c>
      <c r="B172" s="15" t="s">
        <v>744</v>
      </c>
      <c r="C172" s="15" t="s">
        <v>745</v>
      </c>
      <c r="D172" s="21" t="s">
        <v>746</v>
      </c>
      <c r="E172" s="15" t="s">
        <v>744</v>
      </c>
      <c r="F172" s="15" t="s">
        <v>13</v>
      </c>
      <c r="G172" s="15" t="s">
        <v>21</v>
      </c>
      <c r="H172" s="15" t="s">
        <v>15</v>
      </c>
      <c r="I172" s="22" t="s">
        <v>747</v>
      </c>
      <c r="J172" s="37">
        <f t="shared" si="5"/>
        <v>165</v>
      </c>
      <c r="L172" s="3"/>
      <c r="N172" s="3"/>
    </row>
    <row r="173" ht="22.5" customHeight="1">
      <c r="A173" s="20">
        <v>46089.79494802083</v>
      </c>
      <c r="B173" s="15" t="s">
        <v>748</v>
      </c>
      <c r="C173" s="15" t="s">
        <v>749</v>
      </c>
      <c r="D173" s="21" t="s">
        <v>750</v>
      </c>
      <c r="E173" s="15" t="s">
        <v>748</v>
      </c>
      <c r="F173" s="15" t="s">
        <v>41</v>
      </c>
      <c r="G173" s="15" t="s">
        <v>27</v>
      </c>
      <c r="H173" s="15" t="s">
        <v>15</v>
      </c>
      <c r="I173" s="22" t="s">
        <v>751</v>
      </c>
      <c r="J173" s="37">
        <f t="shared" si="5"/>
        <v>180</v>
      </c>
      <c r="L173" s="3"/>
      <c r="N173" s="3"/>
    </row>
    <row r="174" ht="22.5" customHeight="1">
      <c r="A174" s="20">
        <v>46089.79525733796</v>
      </c>
      <c r="B174" s="15" t="s">
        <v>752</v>
      </c>
      <c r="C174" s="23" t="s">
        <v>753</v>
      </c>
      <c r="D174" s="21" t="s">
        <v>754</v>
      </c>
      <c r="E174" s="15" t="s">
        <v>752</v>
      </c>
      <c r="F174" s="15" t="s">
        <v>47</v>
      </c>
      <c r="G174" s="15" t="s">
        <v>221</v>
      </c>
      <c r="H174" s="15" t="s">
        <v>15</v>
      </c>
      <c r="I174" s="22" t="s">
        <v>755</v>
      </c>
      <c r="J174" s="37">
        <f t="shared" si="5"/>
        <v>30</v>
      </c>
      <c r="L174" s="3"/>
      <c r="N174" s="3"/>
    </row>
    <row r="175" ht="22.5" customHeight="1">
      <c r="A175" s="20">
        <v>46089.79587427083</v>
      </c>
      <c r="B175" s="15" t="s">
        <v>756</v>
      </c>
      <c r="C175" s="15" t="s">
        <v>757</v>
      </c>
      <c r="D175" s="38">
        <v>1.093288859E9</v>
      </c>
      <c r="E175" s="15" t="s">
        <v>756</v>
      </c>
      <c r="F175" s="15" t="s">
        <v>20</v>
      </c>
      <c r="G175" s="15" t="s">
        <v>21</v>
      </c>
      <c r="H175" s="15" t="s">
        <v>37</v>
      </c>
      <c r="I175" s="22" t="s">
        <v>758</v>
      </c>
      <c r="J175" s="37">
        <f t="shared" si="5"/>
        <v>165</v>
      </c>
      <c r="L175" s="3"/>
      <c r="N175" s="3"/>
    </row>
    <row r="176" ht="22.5" customHeight="1">
      <c r="A176" s="20">
        <v>46089.79886243056</v>
      </c>
      <c r="B176" s="15" t="s">
        <v>759</v>
      </c>
      <c r="C176" s="15" t="s">
        <v>760</v>
      </c>
      <c r="D176" s="21" t="s">
        <v>761</v>
      </c>
      <c r="E176" s="15" t="s">
        <v>762</v>
      </c>
      <c r="F176" s="15" t="s">
        <v>47</v>
      </c>
      <c r="G176" s="15" t="s">
        <v>14</v>
      </c>
      <c r="H176" s="15" t="s">
        <v>15</v>
      </c>
      <c r="I176" s="22" t="s">
        <v>763</v>
      </c>
      <c r="J176" s="37">
        <f t="shared" si="5"/>
        <v>175</v>
      </c>
      <c r="L176" s="3"/>
      <c r="N176" s="3"/>
    </row>
    <row r="177" ht="22.5" customHeight="1">
      <c r="A177" s="20">
        <v>46089.80070201389</v>
      </c>
      <c r="B177" s="15" t="s">
        <v>377</v>
      </c>
      <c r="C177" s="23" t="s">
        <v>764</v>
      </c>
      <c r="D177" s="39" t="s">
        <v>764</v>
      </c>
      <c r="E177" s="15" t="s">
        <v>377</v>
      </c>
      <c r="F177" s="15" t="s">
        <v>20</v>
      </c>
      <c r="G177" s="15" t="s">
        <v>14</v>
      </c>
      <c r="H177" s="15" t="s">
        <v>15</v>
      </c>
      <c r="I177" s="22" t="s">
        <v>765</v>
      </c>
      <c r="J177" s="37">
        <f t="shared" si="5"/>
        <v>175</v>
      </c>
      <c r="L177" s="3"/>
      <c r="N177" s="3"/>
    </row>
    <row r="178" ht="22.5" customHeight="1">
      <c r="A178" s="20">
        <v>46089.800878877315</v>
      </c>
      <c r="B178" s="15" t="s">
        <v>766</v>
      </c>
      <c r="C178" s="15" t="s">
        <v>767</v>
      </c>
      <c r="D178" s="21" t="s">
        <v>768</v>
      </c>
      <c r="E178" s="15" t="s">
        <v>766</v>
      </c>
      <c r="F178" s="15" t="s">
        <v>41</v>
      </c>
      <c r="G178" s="15" t="s">
        <v>27</v>
      </c>
      <c r="H178" s="15" t="s">
        <v>15</v>
      </c>
      <c r="I178" s="22" t="s">
        <v>769</v>
      </c>
      <c r="J178" s="37">
        <f t="shared" si="5"/>
        <v>180</v>
      </c>
      <c r="L178" s="3"/>
      <c r="N178" s="3"/>
    </row>
    <row r="179" ht="22.5" customHeight="1">
      <c r="A179" s="20">
        <v>46089.801571793985</v>
      </c>
      <c r="B179" s="15" t="s">
        <v>770</v>
      </c>
      <c r="C179" s="15" t="s">
        <v>771</v>
      </c>
      <c r="D179" s="21" t="s">
        <v>772</v>
      </c>
      <c r="E179" s="15" t="s">
        <v>770</v>
      </c>
      <c r="F179" s="15" t="s">
        <v>47</v>
      </c>
      <c r="G179" s="15" t="s">
        <v>14</v>
      </c>
      <c r="H179" s="15" t="s">
        <v>15</v>
      </c>
      <c r="I179" s="22" t="s">
        <v>773</v>
      </c>
      <c r="J179" s="37">
        <f t="shared" si="5"/>
        <v>175</v>
      </c>
      <c r="L179" s="3"/>
      <c r="N179" s="3"/>
    </row>
    <row r="180" ht="22.5" customHeight="1">
      <c r="A180" s="20">
        <v>46089.80346604167</v>
      </c>
      <c r="B180" s="15" t="s">
        <v>774</v>
      </c>
      <c r="C180" s="15" t="s">
        <v>775</v>
      </c>
      <c r="D180" s="21" t="s">
        <v>776</v>
      </c>
      <c r="E180" s="15" t="s">
        <v>774</v>
      </c>
      <c r="F180" s="15" t="s">
        <v>20</v>
      </c>
      <c r="G180" s="15" t="s">
        <v>27</v>
      </c>
      <c r="H180" s="15" t="s">
        <v>15</v>
      </c>
      <c r="I180" s="22" t="s">
        <v>777</v>
      </c>
      <c r="J180" s="37">
        <f t="shared" si="5"/>
        <v>180</v>
      </c>
      <c r="L180" s="3"/>
      <c r="N180" s="3"/>
    </row>
    <row r="181" ht="22.5" customHeight="1">
      <c r="A181" s="20">
        <v>46089.80372969907</v>
      </c>
      <c r="B181" s="15" t="s">
        <v>778</v>
      </c>
      <c r="C181" s="15" t="s">
        <v>779</v>
      </c>
      <c r="D181" s="21" t="s">
        <v>780</v>
      </c>
      <c r="E181" s="15" t="s">
        <v>778</v>
      </c>
      <c r="F181" s="15" t="s">
        <v>47</v>
      </c>
      <c r="G181" s="15" t="s">
        <v>27</v>
      </c>
      <c r="H181" s="15" t="s">
        <v>15</v>
      </c>
      <c r="I181" s="22" t="s">
        <v>781</v>
      </c>
      <c r="J181" s="37">
        <f t="shared" si="5"/>
        <v>180</v>
      </c>
      <c r="L181" s="3"/>
      <c r="N181" s="3"/>
    </row>
    <row r="182" ht="22.5" customHeight="1">
      <c r="A182" s="20">
        <v>46089.80624546296</v>
      </c>
      <c r="B182" s="15" t="s">
        <v>782</v>
      </c>
      <c r="C182" s="15" t="s">
        <v>783</v>
      </c>
      <c r="D182" s="21" t="s">
        <v>784</v>
      </c>
      <c r="E182" s="15" t="s">
        <v>785</v>
      </c>
      <c r="F182" s="15" t="s">
        <v>20</v>
      </c>
      <c r="G182" s="15" t="s">
        <v>133</v>
      </c>
      <c r="H182" s="15" t="s">
        <v>15</v>
      </c>
      <c r="I182" s="22" t="s">
        <v>786</v>
      </c>
      <c r="J182" s="37">
        <f t="shared" si="5"/>
        <v>70</v>
      </c>
      <c r="L182" s="3"/>
      <c r="N182" s="3"/>
    </row>
    <row r="183" ht="22.5" customHeight="1">
      <c r="A183" s="20">
        <v>46089.806350520834</v>
      </c>
      <c r="B183" s="15" t="s">
        <v>787</v>
      </c>
      <c r="C183" s="15" t="s">
        <v>788</v>
      </c>
      <c r="D183" s="21" t="s">
        <v>789</v>
      </c>
      <c r="E183" s="15" t="s">
        <v>787</v>
      </c>
      <c r="F183" s="15" t="s">
        <v>41</v>
      </c>
      <c r="G183" s="15" t="s">
        <v>21</v>
      </c>
      <c r="H183" s="15" t="s">
        <v>37</v>
      </c>
      <c r="I183" s="22" t="s">
        <v>790</v>
      </c>
      <c r="J183" s="37">
        <f t="shared" si="5"/>
        <v>165</v>
      </c>
      <c r="L183" s="3"/>
      <c r="N183" s="3"/>
    </row>
    <row r="184" ht="22.5" customHeight="1">
      <c r="A184" s="20">
        <v>46089.80854229166</v>
      </c>
      <c r="B184" s="15" t="s">
        <v>791</v>
      </c>
      <c r="C184" s="15" t="s">
        <v>792</v>
      </c>
      <c r="D184" s="21" t="s">
        <v>793</v>
      </c>
      <c r="E184" s="15" t="s">
        <v>791</v>
      </c>
      <c r="F184" s="15" t="s">
        <v>41</v>
      </c>
      <c r="G184" s="15" t="s">
        <v>21</v>
      </c>
      <c r="H184" s="15" t="s">
        <v>15</v>
      </c>
      <c r="I184" s="22" t="s">
        <v>794</v>
      </c>
      <c r="J184" s="37">
        <f t="shared" si="5"/>
        <v>165</v>
      </c>
      <c r="L184" s="3"/>
      <c r="N184" s="3"/>
    </row>
    <row r="185" ht="22.5" customHeight="1">
      <c r="A185" s="20">
        <v>46089.80928244213</v>
      </c>
      <c r="B185" s="15" t="s">
        <v>795</v>
      </c>
      <c r="C185" s="15" t="s">
        <v>796</v>
      </c>
      <c r="D185" s="21" t="s">
        <v>797</v>
      </c>
      <c r="E185" s="15" t="s">
        <v>795</v>
      </c>
      <c r="F185" s="15" t="s">
        <v>13</v>
      </c>
      <c r="G185" s="15" t="s">
        <v>221</v>
      </c>
      <c r="H185" s="15" t="s">
        <v>55</v>
      </c>
      <c r="I185" s="22" t="s">
        <v>798</v>
      </c>
      <c r="J185" s="37">
        <f t="shared" si="5"/>
        <v>30</v>
      </c>
      <c r="L185" s="3"/>
      <c r="N185" s="3"/>
    </row>
    <row r="186" ht="22.5" customHeight="1">
      <c r="A186" s="20">
        <v>46089.809547488425</v>
      </c>
      <c r="B186" s="15" t="s">
        <v>799</v>
      </c>
      <c r="C186" s="15" t="s">
        <v>800</v>
      </c>
      <c r="D186" s="21" t="s">
        <v>801</v>
      </c>
      <c r="E186" s="15" t="s">
        <v>799</v>
      </c>
      <c r="F186" s="15" t="s">
        <v>13</v>
      </c>
      <c r="G186" s="15" t="s">
        <v>27</v>
      </c>
      <c r="H186" s="15" t="s">
        <v>15</v>
      </c>
      <c r="I186" s="22" t="s">
        <v>802</v>
      </c>
      <c r="J186" s="37">
        <f t="shared" si="5"/>
        <v>180</v>
      </c>
      <c r="L186" s="3"/>
      <c r="N186" s="3"/>
    </row>
    <row r="187" ht="22.5" customHeight="1">
      <c r="A187" s="20">
        <v>46089.81056459491</v>
      </c>
      <c r="B187" s="15" t="s">
        <v>803</v>
      </c>
      <c r="C187" s="15" t="s">
        <v>804</v>
      </c>
      <c r="D187" s="21" t="s">
        <v>805</v>
      </c>
      <c r="E187" s="15" t="s">
        <v>803</v>
      </c>
      <c r="F187" s="15" t="s">
        <v>41</v>
      </c>
      <c r="G187" s="15" t="s">
        <v>21</v>
      </c>
      <c r="H187" s="15" t="s">
        <v>15</v>
      </c>
      <c r="I187" s="22" t="s">
        <v>806</v>
      </c>
      <c r="J187" s="37">
        <f t="shared" si="5"/>
        <v>165</v>
      </c>
      <c r="L187" s="3"/>
      <c r="N187" s="3"/>
    </row>
    <row r="188" ht="22.5" customHeight="1">
      <c r="A188" s="20">
        <v>46089.81150769676</v>
      </c>
      <c r="B188" s="15" t="s">
        <v>807</v>
      </c>
      <c r="C188" s="15" t="s">
        <v>808</v>
      </c>
      <c r="D188" s="21" t="s">
        <v>809</v>
      </c>
      <c r="E188" s="15" t="s">
        <v>807</v>
      </c>
      <c r="F188" s="15" t="s">
        <v>41</v>
      </c>
      <c r="G188" s="15" t="s">
        <v>14</v>
      </c>
      <c r="H188" s="15" t="s">
        <v>15</v>
      </c>
      <c r="I188" s="22" t="s">
        <v>810</v>
      </c>
      <c r="J188" s="37">
        <f t="shared" si="5"/>
        <v>175</v>
      </c>
      <c r="L188" s="3"/>
      <c r="N188" s="3"/>
    </row>
    <row r="189" ht="22.5" customHeight="1">
      <c r="A189" s="20">
        <v>46089.8120219213</v>
      </c>
      <c r="B189" s="15" t="s">
        <v>811</v>
      </c>
      <c r="C189" s="15" t="s">
        <v>812</v>
      </c>
      <c r="D189" s="21" t="s">
        <v>813</v>
      </c>
      <c r="E189" s="15" t="s">
        <v>811</v>
      </c>
      <c r="F189" s="15" t="s">
        <v>41</v>
      </c>
      <c r="G189" s="15" t="s">
        <v>21</v>
      </c>
      <c r="H189" s="15" t="s">
        <v>15</v>
      </c>
      <c r="I189" s="22" t="s">
        <v>814</v>
      </c>
      <c r="J189" s="37">
        <f t="shared" si="5"/>
        <v>165</v>
      </c>
      <c r="L189" s="3"/>
      <c r="N189" s="3"/>
    </row>
    <row r="190" ht="22.5" customHeight="1">
      <c r="A190" s="20">
        <v>46089.813241909724</v>
      </c>
      <c r="B190" s="15" t="s">
        <v>815</v>
      </c>
      <c r="C190" s="15" t="s">
        <v>816</v>
      </c>
      <c r="D190" s="21" t="s">
        <v>817</v>
      </c>
      <c r="E190" s="15" t="s">
        <v>815</v>
      </c>
      <c r="F190" s="15" t="s">
        <v>13</v>
      </c>
      <c r="G190" s="15" t="s">
        <v>27</v>
      </c>
      <c r="H190" s="15" t="s">
        <v>15</v>
      </c>
      <c r="I190" s="22" t="s">
        <v>818</v>
      </c>
      <c r="J190" s="37">
        <f t="shared" si="5"/>
        <v>180</v>
      </c>
      <c r="L190" s="3"/>
      <c r="N190" s="3"/>
    </row>
    <row r="191" ht="22.5" customHeight="1">
      <c r="A191" s="20">
        <v>46089.81382060185</v>
      </c>
      <c r="B191" s="15" t="s">
        <v>819</v>
      </c>
      <c r="C191" s="15" t="s">
        <v>820</v>
      </c>
      <c r="D191" s="21" t="s">
        <v>821</v>
      </c>
      <c r="E191" s="15" t="s">
        <v>819</v>
      </c>
      <c r="F191" s="15" t="s">
        <v>13</v>
      </c>
      <c r="G191" s="15" t="s">
        <v>21</v>
      </c>
      <c r="H191" s="15" t="s">
        <v>15</v>
      </c>
      <c r="I191" s="22" t="s">
        <v>822</v>
      </c>
      <c r="J191" s="37">
        <f t="shared" si="5"/>
        <v>165</v>
      </c>
      <c r="L191" s="3"/>
      <c r="N191" s="3"/>
    </row>
    <row r="192" ht="22.5" customHeight="1">
      <c r="A192" s="20">
        <v>46089.81428607639</v>
      </c>
      <c r="B192" s="15" t="s">
        <v>823</v>
      </c>
      <c r="C192" s="15" t="s">
        <v>824</v>
      </c>
      <c r="D192" s="21" t="s">
        <v>825</v>
      </c>
      <c r="E192" s="15" t="s">
        <v>823</v>
      </c>
      <c r="F192" s="15" t="s">
        <v>20</v>
      </c>
      <c r="G192" s="15" t="s">
        <v>14</v>
      </c>
      <c r="H192" s="15" t="s">
        <v>37</v>
      </c>
      <c r="I192" s="22" t="s">
        <v>826</v>
      </c>
      <c r="J192" s="37">
        <f t="shared" si="5"/>
        <v>175</v>
      </c>
      <c r="L192" s="3"/>
      <c r="N192" s="3"/>
    </row>
    <row r="193" ht="22.5" customHeight="1">
      <c r="A193" s="20">
        <v>46089.81500474537</v>
      </c>
      <c r="B193" s="15" t="s">
        <v>827</v>
      </c>
      <c r="C193" s="15" t="s">
        <v>828</v>
      </c>
      <c r="D193" s="21" t="s">
        <v>829</v>
      </c>
      <c r="E193" s="15" t="s">
        <v>830</v>
      </c>
      <c r="F193" s="15" t="s">
        <v>13</v>
      </c>
      <c r="G193" s="15" t="s">
        <v>21</v>
      </c>
      <c r="H193" s="15" t="s">
        <v>15</v>
      </c>
      <c r="I193" s="22" t="s">
        <v>831</v>
      </c>
      <c r="J193" s="37">
        <f t="shared" si="5"/>
        <v>165</v>
      </c>
      <c r="L193" s="3"/>
      <c r="N193" s="3"/>
    </row>
    <row r="194" ht="22.5" customHeight="1">
      <c r="A194" s="20">
        <v>46089.81503251157</v>
      </c>
      <c r="B194" s="15" t="s">
        <v>832</v>
      </c>
      <c r="C194" s="15" t="s">
        <v>833</v>
      </c>
      <c r="D194" s="21" t="s">
        <v>834</v>
      </c>
      <c r="E194" s="15" t="s">
        <v>832</v>
      </c>
      <c r="F194" s="15" t="s">
        <v>47</v>
      </c>
      <c r="G194" s="15" t="s">
        <v>14</v>
      </c>
      <c r="H194" s="15" t="s">
        <v>15</v>
      </c>
      <c r="I194" s="22" t="s">
        <v>835</v>
      </c>
      <c r="J194" s="37">
        <f t="shared" si="5"/>
        <v>175</v>
      </c>
      <c r="L194" s="3"/>
      <c r="N194" s="3"/>
    </row>
    <row r="195" ht="22.5" customHeight="1">
      <c r="A195" s="20">
        <v>46089.82172390046</v>
      </c>
      <c r="B195" s="15" t="s">
        <v>836</v>
      </c>
      <c r="C195" s="15" t="s">
        <v>837</v>
      </c>
      <c r="D195" s="21" t="s">
        <v>838</v>
      </c>
      <c r="E195" s="15" t="s">
        <v>836</v>
      </c>
      <c r="F195" s="15" t="s">
        <v>41</v>
      </c>
      <c r="G195" s="15" t="s">
        <v>21</v>
      </c>
      <c r="H195" s="15" t="s">
        <v>15</v>
      </c>
      <c r="I195" s="22" t="s">
        <v>839</v>
      </c>
      <c r="J195" s="37">
        <f t="shared" si="5"/>
        <v>165</v>
      </c>
      <c r="L195" s="3"/>
      <c r="N195" s="3"/>
    </row>
    <row r="196" ht="22.5" customHeight="1">
      <c r="A196" s="20">
        <v>46089.82303505787</v>
      </c>
      <c r="B196" s="15" t="s">
        <v>840</v>
      </c>
      <c r="C196" s="15" t="s">
        <v>841</v>
      </c>
      <c r="D196" s="21" t="s">
        <v>842</v>
      </c>
      <c r="E196" s="15" t="s">
        <v>840</v>
      </c>
      <c r="F196" s="15" t="s">
        <v>47</v>
      </c>
      <c r="G196" s="15" t="s">
        <v>221</v>
      </c>
      <c r="H196" s="15" t="s">
        <v>37</v>
      </c>
      <c r="I196" s="22" t="s">
        <v>843</v>
      </c>
      <c r="J196" s="37">
        <f t="shared" si="5"/>
        <v>30</v>
      </c>
      <c r="L196" s="3"/>
      <c r="N196" s="3"/>
    </row>
    <row r="197" ht="22.5" customHeight="1">
      <c r="A197" s="20">
        <v>46089.824361875</v>
      </c>
      <c r="B197" s="15" t="s">
        <v>844</v>
      </c>
      <c r="C197" s="15" t="s">
        <v>845</v>
      </c>
      <c r="D197" s="21" t="s">
        <v>846</v>
      </c>
      <c r="E197" s="15" t="s">
        <v>844</v>
      </c>
      <c r="F197" s="15" t="s">
        <v>47</v>
      </c>
      <c r="G197" s="15" t="s">
        <v>27</v>
      </c>
      <c r="H197" s="15" t="s">
        <v>15</v>
      </c>
      <c r="I197" s="22" t="s">
        <v>847</v>
      </c>
      <c r="J197" s="37">
        <f t="shared" si="5"/>
        <v>180</v>
      </c>
      <c r="L197" s="3"/>
      <c r="N197" s="3"/>
    </row>
    <row r="198" ht="22.5" customHeight="1">
      <c r="A198" s="20">
        <v>46089.82596511574</v>
      </c>
      <c r="B198" s="15" t="s">
        <v>848</v>
      </c>
      <c r="C198" s="15" t="s">
        <v>849</v>
      </c>
      <c r="D198" s="21" t="s">
        <v>850</v>
      </c>
      <c r="E198" s="15" t="s">
        <v>848</v>
      </c>
      <c r="F198" s="15" t="s">
        <v>47</v>
      </c>
      <c r="G198" s="15" t="s">
        <v>221</v>
      </c>
      <c r="H198" s="15" t="s">
        <v>15</v>
      </c>
      <c r="I198" s="22" t="s">
        <v>851</v>
      </c>
      <c r="J198" s="37">
        <f t="shared" si="5"/>
        <v>30</v>
      </c>
      <c r="L198" s="3"/>
      <c r="N198" s="3"/>
    </row>
    <row r="199" ht="22.5" customHeight="1">
      <c r="A199" s="20">
        <v>46089.82665027778</v>
      </c>
      <c r="B199" s="15" t="s">
        <v>852</v>
      </c>
      <c r="C199" s="15" t="s">
        <v>853</v>
      </c>
      <c r="D199" s="21" t="s">
        <v>854</v>
      </c>
      <c r="E199" s="15" t="s">
        <v>852</v>
      </c>
      <c r="F199" s="15" t="s">
        <v>13</v>
      </c>
      <c r="G199" s="15" t="s">
        <v>27</v>
      </c>
      <c r="H199" s="15" t="s">
        <v>15</v>
      </c>
      <c r="I199" s="22" t="s">
        <v>855</v>
      </c>
      <c r="J199" s="37">
        <f t="shared" si="5"/>
        <v>180</v>
      </c>
      <c r="L199" s="3"/>
      <c r="N199" s="3"/>
    </row>
    <row r="200" ht="22.5" customHeight="1">
      <c r="A200" s="20">
        <v>46089.82699505787</v>
      </c>
      <c r="B200" s="15" t="s">
        <v>856</v>
      </c>
      <c r="C200" s="15" t="s">
        <v>857</v>
      </c>
      <c r="D200" s="21" t="s">
        <v>858</v>
      </c>
      <c r="E200" s="15" t="s">
        <v>856</v>
      </c>
      <c r="F200" s="15" t="s">
        <v>20</v>
      </c>
      <c r="G200" s="15" t="s">
        <v>21</v>
      </c>
      <c r="H200" s="15" t="s">
        <v>37</v>
      </c>
      <c r="I200" s="22" t="s">
        <v>859</v>
      </c>
      <c r="J200" s="37">
        <f t="shared" si="5"/>
        <v>165</v>
      </c>
      <c r="L200" s="3"/>
      <c r="N200" s="3"/>
    </row>
    <row r="201" ht="22.5" customHeight="1">
      <c r="A201" s="20">
        <v>46089.827273055555</v>
      </c>
      <c r="B201" s="15" t="s">
        <v>860</v>
      </c>
      <c r="C201" s="15" t="s">
        <v>861</v>
      </c>
      <c r="D201" s="21" t="s">
        <v>862</v>
      </c>
      <c r="E201" s="15" t="s">
        <v>860</v>
      </c>
      <c r="F201" s="15" t="s">
        <v>13</v>
      </c>
      <c r="G201" s="15" t="s">
        <v>27</v>
      </c>
      <c r="H201" s="15" t="s">
        <v>15</v>
      </c>
      <c r="I201" s="22" t="s">
        <v>863</v>
      </c>
      <c r="J201" s="37">
        <f t="shared" si="5"/>
        <v>180</v>
      </c>
      <c r="L201" s="3"/>
      <c r="N201" s="3"/>
    </row>
    <row r="202" ht="22.5" customHeight="1">
      <c r="A202" s="20">
        <v>46089.82756909722</v>
      </c>
      <c r="B202" s="15" t="s">
        <v>864</v>
      </c>
      <c r="C202" s="15" t="s">
        <v>865</v>
      </c>
      <c r="D202" s="21" t="s">
        <v>866</v>
      </c>
      <c r="E202" s="15" t="s">
        <v>864</v>
      </c>
      <c r="F202" s="15" t="s">
        <v>13</v>
      </c>
      <c r="G202" s="15" t="s">
        <v>27</v>
      </c>
      <c r="H202" s="15" t="s">
        <v>15</v>
      </c>
      <c r="I202" s="22" t="s">
        <v>867</v>
      </c>
      <c r="J202" s="37">
        <f t="shared" si="5"/>
        <v>180</v>
      </c>
      <c r="L202" s="3"/>
      <c r="N202" s="3"/>
    </row>
    <row r="203" ht="22.5" customHeight="1">
      <c r="A203" s="20">
        <v>46089.829455694446</v>
      </c>
      <c r="B203" s="15" t="s">
        <v>868</v>
      </c>
      <c r="C203" s="15" t="s">
        <v>869</v>
      </c>
      <c r="D203" s="21" t="s">
        <v>870</v>
      </c>
      <c r="E203" s="15" t="s">
        <v>871</v>
      </c>
      <c r="F203" s="15" t="s">
        <v>41</v>
      </c>
      <c r="G203" s="15" t="s">
        <v>27</v>
      </c>
      <c r="H203" s="15" t="s">
        <v>15</v>
      </c>
      <c r="I203" s="22" t="s">
        <v>872</v>
      </c>
      <c r="J203" s="37">
        <f t="shared" si="5"/>
        <v>180</v>
      </c>
      <c r="L203" s="3"/>
      <c r="N203" s="3"/>
    </row>
    <row r="204" ht="22.5" customHeight="1">
      <c r="A204" s="20">
        <v>46089.83242802083</v>
      </c>
      <c r="B204" s="15" t="s">
        <v>873</v>
      </c>
      <c r="C204" s="15" t="s">
        <v>874</v>
      </c>
      <c r="D204" s="21" t="s">
        <v>875</v>
      </c>
      <c r="E204" s="15" t="s">
        <v>873</v>
      </c>
      <c r="F204" s="15" t="s">
        <v>47</v>
      </c>
      <c r="G204" s="15" t="s">
        <v>221</v>
      </c>
      <c r="H204" s="15" t="s">
        <v>37</v>
      </c>
      <c r="I204" s="22" t="s">
        <v>876</v>
      </c>
      <c r="J204" s="37">
        <f t="shared" si="5"/>
        <v>30</v>
      </c>
      <c r="L204" s="3"/>
      <c r="N204" s="3"/>
    </row>
    <row r="205" ht="22.5" customHeight="1">
      <c r="A205" s="20">
        <v>46089.83257162037</v>
      </c>
      <c r="B205" s="15" t="s">
        <v>877</v>
      </c>
      <c r="C205" s="15" t="s">
        <v>878</v>
      </c>
      <c r="D205" s="21" t="s">
        <v>879</v>
      </c>
      <c r="E205" s="15" t="s">
        <v>877</v>
      </c>
      <c r="F205" s="15" t="s">
        <v>41</v>
      </c>
      <c r="G205" s="15" t="s">
        <v>14</v>
      </c>
      <c r="H205" s="15" t="s">
        <v>15</v>
      </c>
      <c r="I205" s="22" t="s">
        <v>880</v>
      </c>
      <c r="J205" s="37">
        <f t="shared" si="5"/>
        <v>175</v>
      </c>
      <c r="L205" s="3"/>
      <c r="N205" s="3"/>
    </row>
    <row r="206" ht="22.5" customHeight="1">
      <c r="A206" s="20">
        <v>46089.83343092592</v>
      </c>
      <c r="B206" s="15" t="s">
        <v>881</v>
      </c>
      <c r="C206" s="15" t="s">
        <v>882</v>
      </c>
      <c r="D206" s="21" t="s">
        <v>883</v>
      </c>
      <c r="E206" s="15" t="s">
        <v>881</v>
      </c>
      <c r="F206" s="15" t="s">
        <v>13</v>
      </c>
      <c r="G206" s="15" t="s">
        <v>21</v>
      </c>
      <c r="H206" s="15" t="s">
        <v>37</v>
      </c>
      <c r="I206" s="22" t="s">
        <v>884</v>
      </c>
      <c r="J206" s="37">
        <f t="shared" si="5"/>
        <v>165</v>
      </c>
      <c r="L206" s="3"/>
      <c r="N206" s="3"/>
    </row>
    <row r="207" ht="22.5" customHeight="1">
      <c r="A207" s="20">
        <v>46089.833491620375</v>
      </c>
      <c r="B207" s="15" t="s">
        <v>885</v>
      </c>
      <c r="C207" s="15" t="s">
        <v>886</v>
      </c>
      <c r="D207" s="21" t="s">
        <v>887</v>
      </c>
      <c r="E207" s="15" t="s">
        <v>885</v>
      </c>
      <c r="F207" s="15" t="s">
        <v>41</v>
      </c>
      <c r="G207" s="15" t="s">
        <v>27</v>
      </c>
      <c r="H207" s="15" t="s">
        <v>15</v>
      </c>
      <c r="I207" s="22" t="s">
        <v>888</v>
      </c>
      <c r="J207" s="37">
        <f t="shared" si="5"/>
        <v>180</v>
      </c>
      <c r="L207" s="3"/>
      <c r="N207" s="3"/>
    </row>
    <row r="208" ht="22.5" customHeight="1">
      <c r="A208" s="20">
        <v>46089.8335172338</v>
      </c>
      <c r="B208" s="15" t="s">
        <v>889</v>
      </c>
      <c r="C208" s="23" t="s">
        <v>890</v>
      </c>
      <c r="D208" s="21" t="s">
        <v>891</v>
      </c>
      <c r="E208" s="15" t="s">
        <v>889</v>
      </c>
      <c r="F208" s="15" t="s">
        <v>13</v>
      </c>
      <c r="G208" s="15" t="s">
        <v>21</v>
      </c>
      <c r="H208" s="15" t="s">
        <v>15</v>
      </c>
      <c r="I208" s="22" t="s">
        <v>892</v>
      </c>
      <c r="J208" s="37">
        <f t="shared" si="5"/>
        <v>165</v>
      </c>
      <c r="L208" s="3"/>
      <c r="N208" s="3"/>
    </row>
    <row r="209" ht="22.5" customHeight="1">
      <c r="A209" s="20">
        <v>46089.83360554399</v>
      </c>
      <c r="B209" s="15" t="s">
        <v>893</v>
      </c>
      <c r="C209" s="15" t="s">
        <v>894</v>
      </c>
      <c r="D209" s="21" t="s">
        <v>895</v>
      </c>
      <c r="E209" s="15" t="s">
        <v>893</v>
      </c>
      <c r="F209" s="15" t="s">
        <v>41</v>
      </c>
      <c r="G209" s="15" t="s">
        <v>133</v>
      </c>
      <c r="H209" s="15" t="s">
        <v>15</v>
      </c>
      <c r="I209" s="22" t="s">
        <v>896</v>
      </c>
      <c r="J209" s="37">
        <f t="shared" si="5"/>
        <v>70</v>
      </c>
      <c r="L209" s="3"/>
      <c r="N209" s="3"/>
    </row>
    <row r="210" ht="22.5" customHeight="1">
      <c r="A210" s="20">
        <v>46089.83411859954</v>
      </c>
      <c r="B210" s="15" t="s">
        <v>897</v>
      </c>
      <c r="C210" s="15" t="s">
        <v>898</v>
      </c>
      <c r="D210" s="21" t="s">
        <v>899</v>
      </c>
      <c r="E210" s="15" t="s">
        <v>897</v>
      </c>
      <c r="F210" s="15" t="s">
        <v>20</v>
      </c>
      <c r="G210" s="15" t="s">
        <v>221</v>
      </c>
      <c r="H210" s="15" t="s">
        <v>15</v>
      </c>
      <c r="I210" s="22" t="s">
        <v>900</v>
      </c>
      <c r="J210" s="37">
        <f t="shared" si="5"/>
        <v>30</v>
      </c>
      <c r="L210" s="3"/>
      <c r="N210" s="3"/>
    </row>
    <row r="211" ht="22.5" customHeight="1">
      <c r="A211" s="20">
        <v>46089.83451945602</v>
      </c>
      <c r="B211" s="15" t="s">
        <v>901</v>
      </c>
      <c r="C211" s="15" t="s">
        <v>902</v>
      </c>
      <c r="D211" s="21" t="s">
        <v>903</v>
      </c>
      <c r="E211" s="15" t="s">
        <v>901</v>
      </c>
      <c r="F211" s="15" t="s">
        <v>41</v>
      </c>
      <c r="G211" s="15" t="s">
        <v>138</v>
      </c>
      <c r="H211" s="15" t="s">
        <v>15</v>
      </c>
      <c r="I211" s="22" t="s">
        <v>904</v>
      </c>
      <c r="J211" s="37">
        <f t="shared" si="5"/>
        <v>80</v>
      </c>
      <c r="L211" s="3"/>
      <c r="N211" s="3"/>
    </row>
    <row r="212" ht="22.5" customHeight="1">
      <c r="A212" s="20">
        <v>46089.83961277778</v>
      </c>
      <c r="B212" s="15" t="s">
        <v>905</v>
      </c>
      <c r="C212" s="15" t="s">
        <v>906</v>
      </c>
      <c r="D212" s="21" t="s">
        <v>907</v>
      </c>
      <c r="E212" s="15" t="s">
        <v>905</v>
      </c>
      <c r="F212" s="15" t="s">
        <v>41</v>
      </c>
      <c r="G212" s="15" t="s">
        <v>21</v>
      </c>
      <c r="H212" s="15" t="s">
        <v>15</v>
      </c>
      <c r="I212" s="22" t="s">
        <v>908</v>
      </c>
      <c r="J212" s="37">
        <f t="shared" si="5"/>
        <v>165</v>
      </c>
      <c r="L212" s="3"/>
      <c r="N212" s="3"/>
    </row>
    <row r="213" ht="22.5" customHeight="1">
      <c r="A213" s="20">
        <v>46089.84072943287</v>
      </c>
      <c r="B213" s="15" t="s">
        <v>909</v>
      </c>
      <c r="C213" s="15" t="s">
        <v>910</v>
      </c>
      <c r="D213" s="21" t="s">
        <v>911</v>
      </c>
      <c r="E213" s="15" t="s">
        <v>909</v>
      </c>
      <c r="F213" s="15" t="s">
        <v>41</v>
      </c>
      <c r="G213" s="15" t="s">
        <v>27</v>
      </c>
      <c r="H213" s="15" t="s">
        <v>15</v>
      </c>
      <c r="I213" s="22" t="s">
        <v>912</v>
      </c>
      <c r="J213" s="37">
        <f t="shared" si="5"/>
        <v>180</v>
      </c>
      <c r="L213" s="3"/>
      <c r="N213" s="3"/>
    </row>
    <row r="214" ht="22.5" customHeight="1">
      <c r="A214" s="20">
        <v>46089.85149237268</v>
      </c>
      <c r="B214" s="15" t="s">
        <v>913</v>
      </c>
      <c r="C214" s="15" t="s">
        <v>914</v>
      </c>
      <c r="D214" s="21" t="s">
        <v>915</v>
      </c>
      <c r="E214" s="15" t="s">
        <v>913</v>
      </c>
      <c r="F214" s="15" t="s">
        <v>41</v>
      </c>
      <c r="G214" s="15" t="s">
        <v>21</v>
      </c>
      <c r="H214" s="15" t="s">
        <v>15</v>
      </c>
      <c r="I214" s="22" t="s">
        <v>916</v>
      </c>
      <c r="J214" s="37">
        <f t="shared" si="5"/>
        <v>165</v>
      </c>
      <c r="L214" s="3"/>
      <c r="N214" s="3"/>
    </row>
    <row r="215" ht="22.5" customHeight="1">
      <c r="A215" s="20">
        <v>46089.85341435185</v>
      </c>
      <c r="B215" s="15" t="s">
        <v>917</v>
      </c>
      <c r="C215" s="15" t="s">
        <v>25</v>
      </c>
      <c r="D215" s="21" t="s">
        <v>918</v>
      </c>
      <c r="E215" s="15" t="s">
        <v>917</v>
      </c>
      <c r="F215" s="15" t="s">
        <v>13</v>
      </c>
      <c r="G215" s="15" t="s">
        <v>14</v>
      </c>
      <c r="H215" s="15" t="s">
        <v>55</v>
      </c>
      <c r="I215" s="22" t="s">
        <v>919</v>
      </c>
      <c r="J215" s="37">
        <f t="shared" si="5"/>
        <v>175</v>
      </c>
      <c r="L215" s="3"/>
      <c r="N215" s="3"/>
    </row>
    <row r="216" ht="22.5" customHeight="1">
      <c r="A216" s="20">
        <v>46089.863069375</v>
      </c>
      <c r="B216" s="15" t="s">
        <v>920</v>
      </c>
      <c r="C216" s="15" t="s">
        <v>921</v>
      </c>
      <c r="D216" s="21" t="s">
        <v>875</v>
      </c>
      <c r="E216" s="15" t="s">
        <v>920</v>
      </c>
      <c r="F216" s="15" t="s">
        <v>47</v>
      </c>
      <c r="G216" s="15" t="s">
        <v>221</v>
      </c>
      <c r="H216" s="15" t="s">
        <v>37</v>
      </c>
      <c r="I216" s="22" t="s">
        <v>922</v>
      </c>
      <c r="J216" s="37">
        <f t="shared" si="5"/>
        <v>30</v>
      </c>
      <c r="L216" s="3"/>
      <c r="N216" s="3"/>
    </row>
    <row r="217" ht="22.5" customHeight="1">
      <c r="A217" s="20">
        <v>46089.868230555556</v>
      </c>
      <c r="B217" s="15" t="s">
        <v>923</v>
      </c>
      <c r="C217" s="15" t="s">
        <v>924</v>
      </c>
      <c r="D217" s="21" t="s">
        <v>925</v>
      </c>
      <c r="E217" s="15" t="s">
        <v>923</v>
      </c>
      <c r="F217" s="15" t="s">
        <v>13</v>
      </c>
      <c r="G217" s="15" t="s">
        <v>14</v>
      </c>
      <c r="H217" s="15" t="s">
        <v>37</v>
      </c>
      <c r="I217" s="22" t="s">
        <v>926</v>
      </c>
      <c r="J217" s="37">
        <f t="shared" si="5"/>
        <v>175</v>
      </c>
      <c r="L217" s="3"/>
      <c r="N217" s="3"/>
    </row>
    <row r="218" ht="22.5" customHeight="1">
      <c r="A218" s="20"/>
      <c r="B218" s="15" t="s">
        <v>927</v>
      </c>
      <c r="C218" s="15" t="s">
        <v>928</v>
      </c>
      <c r="D218" s="21" t="s">
        <v>929</v>
      </c>
      <c r="E218" s="15" t="s">
        <v>927</v>
      </c>
      <c r="F218" s="15" t="s">
        <v>41</v>
      </c>
      <c r="G218" s="15" t="s">
        <v>221</v>
      </c>
      <c r="H218" s="15" t="s">
        <v>15</v>
      </c>
      <c r="I218" s="15"/>
      <c r="J218" s="37">
        <f t="shared" si="5"/>
        <v>30</v>
      </c>
      <c r="L218" s="3"/>
      <c r="N218" s="3"/>
    </row>
    <row r="219" ht="22.5" customHeight="1">
      <c r="A219" s="4"/>
      <c r="B219" s="5" t="s">
        <v>930</v>
      </c>
      <c r="C219" s="5" t="s">
        <v>931</v>
      </c>
      <c r="D219" s="10" t="s">
        <v>932</v>
      </c>
      <c r="E219" s="5" t="s">
        <v>930</v>
      </c>
      <c r="F219" s="5"/>
      <c r="G219" s="15" t="s">
        <v>21</v>
      </c>
      <c r="H219" s="15" t="s">
        <v>15</v>
      </c>
      <c r="I219" s="5"/>
      <c r="J219" s="40">
        <f t="shared" si="5"/>
        <v>165</v>
      </c>
      <c r="L219" s="3"/>
      <c r="N219" s="3"/>
    </row>
    <row r="220" ht="22.5" customHeight="1">
      <c r="A220" s="4"/>
      <c r="B220" s="5" t="s">
        <v>933</v>
      </c>
      <c r="C220" s="5" t="s">
        <v>934</v>
      </c>
      <c r="D220" s="10" t="s">
        <v>935</v>
      </c>
      <c r="E220" s="5" t="s">
        <v>933</v>
      </c>
      <c r="F220" s="5"/>
      <c r="G220" s="15" t="s">
        <v>21</v>
      </c>
      <c r="H220" s="15" t="s">
        <v>15</v>
      </c>
      <c r="I220" s="5"/>
      <c r="J220" s="40">
        <f t="shared" si="5"/>
        <v>165</v>
      </c>
      <c r="L220" s="3"/>
      <c r="N220" s="3"/>
    </row>
    <row r="221" ht="22.5" customHeight="1">
      <c r="A221" s="4"/>
      <c r="B221" s="5" t="s">
        <v>936</v>
      </c>
      <c r="C221" s="5" t="s">
        <v>937</v>
      </c>
      <c r="D221" s="10" t="s">
        <v>938</v>
      </c>
      <c r="E221" s="5" t="s">
        <v>936</v>
      </c>
      <c r="F221" s="5"/>
      <c r="G221" s="15" t="s">
        <v>21</v>
      </c>
      <c r="H221" s="15" t="s">
        <v>15</v>
      </c>
      <c r="I221" s="5"/>
      <c r="J221" s="40">
        <f t="shared" si="5"/>
        <v>165</v>
      </c>
      <c r="L221" s="3"/>
      <c r="N221" s="3"/>
    </row>
    <row r="222" ht="22.5" customHeight="1">
      <c r="A222" s="4"/>
      <c r="B222" s="5" t="s">
        <v>939</v>
      </c>
      <c r="C222" s="5" t="s">
        <v>940</v>
      </c>
      <c r="D222" s="7">
        <v>1.06600707E9</v>
      </c>
      <c r="E222" s="5" t="s">
        <v>939</v>
      </c>
      <c r="F222" s="5"/>
      <c r="G222" s="15" t="s">
        <v>221</v>
      </c>
      <c r="H222" s="15" t="s">
        <v>15</v>
      </c>
      <c r="I222" s="5"/>
      <c r="J222" s="40">
        <f t="shared" si="5"/>
        <v>30</v>
      </c>
      <c r="L222" s="3"/>
      <c r="N222" s="3"/>
    </row>
    <row r="223" ht="22.5" customHeight="1">
      <c r="A223" s="4"/>
      <c r="B223" s="5" t="s">
        <v>941</v>
      </c>
      <c r="C223" s="5" t="s">
        <v>942</v>
      </c>
      <c r="D223" s="7">
        <v>1.00807541E9</v>
      </c>
      <c r="E223" s="5" t="s">
        <v>941</v>
      </c>
      <c r="F223" s="5"/>
      <c r="G223" s="15" t="s">
        <v>21</v>
      </c>
      <c r="H223" s="15" t="s">
        <v>37</v>
      </c>
      <c r="I223" s="5"/>
      <c r="J223" s="40">
        <f t="shared" si="5"/>
        <v>165</v>
      </c>
      <c r="L223" s="3"/>
      <c r="N223" s="3"/>
    </row>
    <row r="224" ht="22.5" customHeight="1">
      <c r="A224" s="4"/>
      <c r="B224" s="5" t="s">
        <v>943</v>
      </c>
      <c r="C224" s="5" t="s">
        <v>944</v>
      </c>
      <c r="D224" s="7">
        <v>1.555136538E9</v>
      </c>
      <c r="E224" s="5" t="s">
        <v>943</v>
      </c>
      <c r="F224" s="5"/>
      <c r="G224" s="15" t="s">
        <v>221</v>
      </c>
      <c r="H224" s="15" t="s">
        <v>37</v>
      </c>
      <c r="I224" s="5"/>
      <c r="J224" s="40">
        <f t="shared" si="5"/>
        <v>30</v>
      </c>
      <c r="L224" s="3"/>
      <c r="N224" s="3"/>
    </row>
    <row r="225" ht="22.5" customHeight="1">
      <c r="A225" s="4"/>
      <c r="B225" s="5" t="s">
        <v>945</v>
      </c>
      <c r="C225" s="5" t="s">
        <v>946</v>
      </c>
      <c r="D225" s="7">
        <v>1.201314164E9</v>
      </c>
      <c r="E225" s="5" t="s">
        <v>945</v>
      </c>
      <c r="F225" s="5"/>
      <c r="G225" s="15" t="s">
        <v>221</v>
      </c>
      <c r="H225" s="15" t="s">
        <v>37</v>
      </c>
      <c r="I225" s="5"/>
      <c r="J225" s="40">
        <f t="shared" si="5"/>
        <v>30</v>
      </c>
      <c r="L225" s="3"/>
      <c r="N225" s="3"/>
    </row>
    <row r="226" ht="22.5" customHeight="1">
      <c r="A226" s="4"/>
      <c r="B226" s="5" t="s">
        <v>947</v>
      </c>
      <c r="C226" s="5" t="s">
        <v>948</v>
      </c>
      <c r="D226" s="10" t="s">
        <v>949</v>
      </c>
      <c r="E226" s="5" t="s">
        <v>947</v>
      </c>
      <c r="F226" s="5"/>
      <c r="G226" s="15" t="s">
        <v>221</v>
      </c>
      <c r="H226" s="15" t="s">
        <v>15</v>
      </c>
      <c r="I226" s="5"/>
      <c r="J226" s="40">
        <f t="shared" si="5"/>
        <v>30</v>
      </c>
      <c r="L226" s="3"/>
      <c r="N226" s="3"/>
    </row>
    <row r="227" ht="22.5" customHeight="1">
      <c r="A227" s="4"/>
      <c r="B227" s="5" t="s">
        <v>950</v>
      </c>
      <c r="C227" s="5" t="s">
        <v>951</v>
      </c>
      <c r="D227" s="10" t="s">
        <v>952</v>
      </c>
      <c r="E227" s="5" t="s">
        <v>950</v>
      </c>
      <c r="F227" s="5"/>
      <c r="G227" s="15" t="s">
        <v>14</v>
      </c>
      <c r="H227" s="15" t="s">
        <v>37</v>
      </c>
      <c r="I227" s="5"/>
      <c r="J227" s="40">
        <f t="shared" si="5"/>
        <v>175</v>
      </c>
      <c r="L227" s="3"/>
      <c r="N227" s="3"/>
    </row>
    <row r="228" ht="22.5" customHeight="1">
      <c r="A228" s="4"/>
      <c r="B228" s="5" t="s">
        <v>953</v>
      </c>
      <c r="C228" s="6" t="s">
        <v>954</v>
      </c>
      <c r="D228" s="10" t="s">
        <v>955</v>
      </c>
      <c r="E228" s="5" t="s">
        <v>953</v>
      </c>
      <c r="F228" s="5"/>
      <c r="G228" s="15" t="s">
        <v>221</v>
      </c>
      <c r="H228" s="15" t="s">
        <v>15</v>
      </c>
      <c r="I228" s="5"/>
      <c r="J228" s="40">
        <f t="shared" si="5"/>
        <v>30</v>
      </c>
      <c r="L228" s="3"/>
      <c r="N228" s="3"/>
    </row>
    <row r="229" ht="22.5" customHeight="1">
      <c r="A229" s="4"/>
      <c r="B229" s="5" t="s">
        <v>956</v>
      </c>
      <c r="C229" s="6" t="s">
        <v>957</v>
      </c>
      <c r="D229" s="7">
        <v>1.014785191E9</v>
      </c>
      <c r="E229" s="5" t="s">
        <v>956</v>
      </c>
      <c r="F229" s="5"/>
      <c r="G229" s="15" t="s">
        <v>27</v>
      </c>
      <c r="H229" s="15" t="s">
        <v>37</v>
      </c>
      <c r="I229" s="5"/>
      <c r="J229" s="40">
        <f t="shared" si="5"/>
        <v>180</v>
      </c>
      <c r="L229" s="3"/>
      <c r="N229" s="3"/>
    </row>
    <row r="230" ht="22.5" customHeight="1">
      <c r="A230" s="4"/>
      <c r="B230" s="5" t="s">
        <v>958</v>
      </c>
      <c r="C230" s="5" t="s">
        <v>959</v>
      </c>
      <c r="D230" s="7">
        <v>1.551801298E9</v>
      </c>
      <c r="E230" s="5" t="s">
        <v>958</v>
      </c>
      <c r="F230" s="5"/>
      <c r="G230" s="15" t="s">
        <v>138</v>
      </c>
      <c r="H230" s="15" t="s">
        <v>15</v>
      </c>
      <c r="I230" s="5"/>
      <c r="J230" s="40">
        <f t="shared" si="5"/>
        <v>80</v>
      </c>
      <c r="L230" s="3"/>
      <c r="N230" s="3"/>
    </row>
    <row r="231" ht="22.5" customHeight="1">
      <c r="A231" s="4"/>
      <c r="B231" s="5" t="s">
        <v>960</v>
      </c>
      <c r="C231" s="5" t="s">
        <v>961</v>
      </c>
      <c r="D231" s="7">
        <v>1.068588974E9</v>
      </c>
      <c r="E231" s="5" t="s">
        <v>960</v>
      </c>
      <c r="F231" s="5"/>
      <c r="G231" s="15" t="s">
        <v>14</v>
      </c>
      <c r="H231" s="15" t="s">
        <v>15</v>
      </c>
      <c r="I231" s="5"/>
      <c r="J231" s="40">
        <f t="shared" si="5"/>
        <v>175</v>
      </c>
      <c r="L231" s="3"/>
      <c r="N231" s="3"/>
    </row>
    <row r="232">
      <c r="D232" s="41"/>
      <c r="L232" s="3"/>
      <c r="N232" s="3"/>
    </row>
    <row r="233">
      <c r="D233" s="41"/>
      <c r="L233" s="3"/>
      <c r="N233" s="3"/>
    </row>
    <row r="234">
      <c r="D234" s="41"/>
      <c r="L234" s="3"/>
      <c r="N234" s="3"/>
    </row>
    <row r="235">
      <c r="D235" s="41"/>
      <c r="L235" s="3"/>
      <c r="N235" s="3"/>
    </row>
    <row r="236">
      <c r="D236" s="41"/>
      <c r="L236" s="3"/>
      <c r="N236" s="3"/>
    </row>
    <row r="237">
      <c r="D237" s="41"/>
      <c r="L237" s="3"/>
      <c r="N237" s="3"/>
    </row>
    <row r="238">
      <c r="D238" s="41"/>
      <c r="L238" s="3"/>
      <c r="N238" s="3"/>
    </row>
    <row r="239">
      <c r="D239" s="41"/>
      <c r="L239" s="3"/>
      <c r="N239" s="3"/>
    </row>
    <row r="240">
      <c r="D240" s="41"/>
      <c r="L240" s="3"/>
      <c r="N240" s="3"/>
    </row>
    <row r="241">
      <c r="D241" s="41"/>
      <c r="L241" s="3"/>
      <c r="N241" s="3"/>
    </row>
    <row r="242">
      <c r="D242" s="41"/>
      <c r="L242" s="3"/>
      <c r="N242" s="3"/>
    </row>
    <row r="243">
      <c r="D243" s="41"/>
      <c r="L243" s="3"/>
      <c r="N243" s="3"/>
    </row>
    <row r="244">
      <c r="D244" s="41"/>
      <c r="L244" s="3"/>
      <c r="N244" s="3"/>
    </row>
    <row r="245">
      <c r="D245" s="41"/>
      <c r="L245" s="3"/>
      <c r="N245" s="3"/>
    </row>
    <row r="246">
      <c r="D246" s="41"/>
      <c r="L246" s="3"/>
      <c r="N246" s="3"/>
    </row>
    <row r="247">
      <c r="D247" s="41"/>
      <c r="L247" s="3"/>
      <c r="N247" s="3"/>
    </row>
    <row r="248">
      <c r="D248" s="41"/>
      <c r="L248" s="3"/>
      <c r="N248" s="3"/>
    </row>
    <row r="249">
      <c r="D249" s="41"/>
      <c r="L249" s="3"/>
      <c r="N249" s="3"/>
    </row>
    <row r="250">
      <c r="D250" s="41"/>
      <c r="L250" s="3"/>
      <c r="N250" s="3"/>
    </row>
    <row r="251">
      <c r="D251" s="41"/>
      <c r="L251" s="3"/>
      <c r="N251" s="3"/>
    </row>
    <row r="252">
      <c r="D252" s="41"/>
      <c r="L252" s="3"/>
      <c r="N252" s="3"/>
    </row>
    <row r="253">
      <c r="D253" s="41"/>
      <c r="L253" s="3"/>
      <c r="N253" s="3"/>
    </row>
    <row r="254">
      <c r="D254" s="41"/>
      <c r="L254" s="3"/>
      <c r="N254" s="3"/>
    </row>
    <row r="255">
      <c r="D255" s="41"/>
      <c r="L255" s="3"/>
      <c r="N255" s="3"/>
    </row>
    <row r="256">
      <c r="D256" s="41"/>
      <c r="L256" s="3"/>
      <c r="N256" s="3"/>
    </row>
    <row r="257">
      <c r="D257" s="41"/>
      <c r="L257" s="3"/>
      <c r="N257" s="3"/>
    </row>
    <row r="258">
      <c r="D258" s="41"/>
      <c r="L258" s="3"/>
      <c r="N258" s="3"/>
    </row>
    <row r="259">
      <c r="D259" s="41"/>
      <c r="L259" s="3"/>
      <c r="N259" s="3"/>
    </row>
    <row r="260">
      <c r="D260" s="41"/>
      <c r="L260" s="3"/>
      <c r="N260" s="3"/>
    </row>
    <row r="261">
      <c r="D261" s="41"/>
      <c r="L261" s="3"/>
      <c r="N261" s="3"/>
    </row>
    <row r="262">
      <c r="D262" s="41"/>
      <c r="L262" s="3"/>
      <c r="N262" s="3"/>
    </row>
    <row r="263">
      <c r="D263" s="41"/>
      <c r="L263" s="3"/>
      <c r="N263" s="3"/>
    </row>
    <row r="264">
      <c r="D264" s="41"/>
      <c r="L264" s="3"/>
      <c r="N264" s="3"/>
    </row>
    <row r="265">
      <c r="D265" s="41"/>
      <c r="L265" s="3"/>
      <c r="N265" s="3"/>
    </row>
    <row r="266">
      <c r="D266" s="41"/>
      <c r="L266" s="3"/>
      <c r="N266" s="3"/>
    </row>
    <row r="267">
      <c r="D267" s="41"/>
      <c r="L267" s="3"/>
      <c r="N267" s="3"/>
    </row>
    <row r="268">
      <c r="D268" s="41"/>
      <c r="L268" s="3"/>
      <c r="N268" s="3"/>
    </row>
    <row r="269">
      <c r="D269" s="41"/>
      <c r="L269" s="3"/>
      <c r="N269" s="3"/>
    </row>
    <row r="270">
      <c r="D270" s="41"/>
      <c r="L270" s="3"/>
      <c r="N270" s="3"/>
    </row>
    <row r="271">
      <c r="D271" s="41"/>
      <c r="L271" s="3"/>
      <c r="N271" s="3"/>
    </row>
    <row r="272">
      <c r="D272" s="41"/>
      <c r="L272" s="3"/>
      <c r="N272" s="3"/>
    </row>
    <row r="273">
      <c r="D273" s="41"/>
      <c r="L273" s="3"/>
      <c r="N273" s="3"/>
    </row>
    <row r="274">
      <c r="D274" s="41"/>
      <c r="L274" s="3"/>
      <c r="N274" s="3"/>
    </row>
    <row r="275">
      <c r="D275" s="41"/>
      <c r="L275" s="3"/>
      <c r="N275" s="3"/>
    </row>
    <row r="276">
      <c r="D276" s="41"/>
      <c r="L276" s="3"/>
      <c r="N276" s="3"/>
    </row>
    <row r="277">
      <c r="D277" s="41"/>
      <c r="L277" s="3"/>
      <c r="N277" s="3"/>
    </row>
    <row r="278">
      <c r="D278" s="41"/>
      <c r="L278" s="3"/>
      <c r="N278" s="3"/>
    </row>
    <row r="279">
      <c r="D279" s="41"/>
      <c r="L279" s="3"/>
      <c r="N279" s="3"/>
    </row>
    <row r="280">
      <c r="D280" s="41"/>
      <c r="L280" s="3"/>
      <c r="N280" s="3"/>
    </row>
    <row r="281">
      <c r="D281" s="41"/>
      <c r="L281" s="3"/>
      <c r="N281" s="3"/>
    </row>
    <row r="282">
      <c r="D282" s="41"/>
      <c r="L282" s="3"/>
      <c r="N282" s="3"/>
    </row>
    <row r="283">
      <c r="D283" s="41"/>
      <c r="L283" s="3"/>
      <c r="N283" s="3"/>
    </row>
    <row r="284">
      <c r="D284" s="41"/>
      <c r="L284" s="3"/>
      <c r="N284" s="3"/>
    </row>
    <row r="285">
      <c r="D285" s="41"/>
      <c r="L285" s="3"/>
      <c r="N285" s="3"/>
    </row>
    <row r="286">
      <c r="D286" s="41"/>
      <c r="L286" s="3"/>
      <c r="N286" s="3"/>
    </row>
    <row r="287">
      <c r="D287" s="41"/>
      <c r="L287" s="3"/>
      <c r="N287" s="3"/>
    </row>
    <row r="288">
      <c r="D288" s="41"/>
      <c r="L288" s="3"/>
      <c r="N288" s="3"/>
    </row>
    <row r="289">
      <c r="D289" s="41"/>
      <c r="L289" s="3"/>
      <c r="N289" s="3"/>
    </row>
    <row r="290">
      <c r="D290" s="41"/>
      <c r="L290" s="3"/>
      <c r="N290" s="3"/>
    </row>
    <row r="291">
      <c r="D291" s="41"/>
      <c r="L291" s="3"/>
      <c r="N291" s="3"/>
    </row>
    <row r="292">
      <c r="D292" s="41"/>
      <c r="L292" s="3"/>
      <c r="N292" s="3"/>
    </row>
    <row r="293">
      <c r="D293" s="41"/>
      <c r="L293" s="3"/>
      <c r="N293" s="3"/>
    </row>
    <row r="294">
      <c r="D294" s="41"/>
      <c r="L294" s="3"/>
      <c r="N294" s="3"/>
    </row>
    <row r="295">
      <c r="D295" s="41"/>
      <c r="L295" s="3"/>
      <c r="N295" s="3"/>
    </row>
    <row r="296">
      <c r="D296" s="41"/>
      <c r="L296" s="3"/>
      <c r="N296" s="3"/>
    </row>
    <row r="297">
      <c r="D297" s="41"/>
      <c r="L297" s="3"/>
      <c r="N297" s="3"/>
    </row>
    <row r="298">
      <c r="D298" s="41"/>
      <c r="L298" s="3"/>
      <c r="N298" s="3"/>
    </row>
    <row r="299">
      <c r="D299" s="41"/>
      <c r="L299" s="3"/>
      <c r="N299" s="3"/>
    </row>
    <row r="300">
      <c r="D300" s="41"/>
      <c r="L300" s="3"/>
      <c r="N300" s="3"/>
    </row>
    <row r="301">
      <c r="D301" s="41"/>
      <c r="L301" s="3"/>
      <c r="N301" s="3"/>
    </row>
    <row r="302">
      <c r="D302" s="41"/>
      <c r="L302" s="3"/>
      <c r="N302" s="3"/>
    </row>
    <row r="303">
      <c r="D303" s="41"/>
      <c r="L303" s="3"/>
      <c r="N303" s="3"/>
    </row>
    <row r="304">
      <c r="D304" s="41"/>
      <c r="L304" s="3"/>
      <c r="N304" s="3"/>
    </row>
    <row r="305">
      <c r="D305" s="41"/>
      <c r="L305" s="3"/>
      <c r="N305" s="3"/>
    </row>
    <row r="306">
      <c r="D306" s="41"/>
      <c r="L306" s="3"/>
      <c r="N306" s="3"/>
    </row>
    <row r="307">
      <c r="D307" s="41"/>
      <c r="L307" s="3"/>
      <c r="N307" s="3"/>
    </row>
    <row r="308">
      <c r="D308" s="41"/>
      <c r="L308" s="3"/>
      <c r="N308" s="3"/>
    </row>
    <row r="309">
      <c r="D309" s="41"/>
      <c r="L309" s="3"/>
      <c r="N309" s="3"/>
    </row>
    <row r="310">
      <c r="D310" s="41"/>
      <c r="L310" s="3"/>
      <c r="N310" s="3"/>
    </row>
    <row r="311">
      <c r="D311" s="41"/>
      <c r="L311" s="3"/>
      <c r="N311" s="3"/>
    </row>
    <row r="312">
      <c r="D312" s="41"/>
      <c r="L312" s="3"/>
      <c r="N312" s="3"/>
    </row>
    <row r="313">
      <c r="D313" s="41"/>
      <c r="L313" s="3"/>
      <c r="N313" s="3"/>
    </row>
    <row r="314">
      <c r="D314" s="41"/>
      <c r="L314" s="3"/>
      <c r="N314" s="3"/>
    </row>
    <row r="315">
      <c r="D315" s="41"/>
      <c r="L315" s="3"/>
      <c r="N315" s="3"/>
    </row>
    <row r="316">
      <c r="D316" s="41"/>
      <c r="L316" s="3"/>
      <c r="N316" s="3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</hyperlinks>
  <drawing r:id="rId217"/>
  <tableParts count="1">
    <tablePart r:id="rId219"/>
  </tableParts>
</worksheet>
</file>